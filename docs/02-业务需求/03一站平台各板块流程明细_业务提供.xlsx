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蓝图共识及详细业务调研_20260414(1)\"/>
    </mc:Choice>
  </mc:AlternateContent>
  <bookViews>
    <workbookView xWindow="0" yWindow="0" windowWidth="22190" windowHeight="10460"/>
  </bookViews>
  <sheets>
    <sheet name="HR流程明细" sheetId="1" r:id="rId1"/>
    <sheet name="行政（新）" sheetId="5" r:id="rId2"/>
    <sheet name="行政流程明细" sheetId="3" r:id="rId3"/>
    <sheet name="生产流程明细" sheetId="4" r:id="rId4"/>
    <sheet name="工资条格式" sheetId="2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</calcChain>
</file>

<file path=xl/sharedStrings.xml><?xml version="1.0" encoding="utf-8"?>
<sst xmlns="http://schemas.openxmlformats.org/spreadsheetml/2006/main" count="550" uniqueCount="300">
  <si>
    <t>一级菜单</t>
  </si>
  <si>
    <t>二级菜单</t>
  </si>
  <si>
    <t>功能</t>
  </si>
  <si>
    <t>功能达到的效果</t>
  </si>
  <si>
    <t>审批流程规则</t>
  </si>
  <si>
    <t>字段</t>
  </si>
  <si>
    <t>是否和夏谷对接</t>
  </si>
  <si>
    <t>夏谷具体功能</t>
  </si>
  <si>
    <t>办事大厅</t>
  </si>
  <si>
    <t>人事通</t>
  </si>
  <si>
    <t>补卡</t>
  </si>
  <si>
    <t>姓名、工号、补卡日期时间-同OA管理一致</t>
  </si>
  <si>
    <t>是</t>
  </si>
  <si>
    <t>【考勤管理-打卡管理】</t>
  </si>
  <si>
    <t>请假</t>
  </si>
  <si>
    <t>姓名、工号、请假日期及请假时间段-同OA管理一致</t>
  </si>
  <si>
    <t>销假</t>
  </si>
  <si>
    <t>员工已经发起了请假流程，但提前将事情处理完提前回来上班，对原请假天数进行部分销假处理。员工发起请假流程又同时出现打卡的的考勤异常，2-3天推送给到员工，提醒需及时进行提交晓假。</t>
  </si>
  <si>
    <t>姓名、工号、销假日期及请假时间段-同OA管理一致</t>
  </si>
  <si>
    <t>入职指引</t>
  </si>
  <si>
    <t>除入职指引的内容外，增加员工自行报餐和住宿的申请</t>
  </si>
  <si>
    <t>以行政中心意见为准；不同园区有不同的指引说明</t>
  </si>
  <si>
    <t>以行政中心意见为准</t>
  </si>
  <si>
    <t>否</t>
  </si>
  <si>
    <t>调动</t>
  </si>
  <si>
    <t>对员工组别、课别、部门或者跨工厂调动，实现线上审批并系统落位；</t>
  </si>
  <si>
    <t>同OA管理调动的流程字段一致</t>
  </si>
  <si>
    <t>【人员管理-人事异动】</t>
  </si>
  <si>
    <t>离职-申请</t>
  </si>
  <si>
    <t>员工线上提交离职申请，跟进离职流程的审批，减少线下找各个环节负责人审批。</t>
  </si>
  <si>
    <r>
      <t>员工发起→直接上级→部门经理→人资BP负责人→工厂/中心负责人</t>
    </r>
    <r>
      <rPr>
        <b/>
        <sz val="11"/>
        <color rgb="FFFF0000"/>
        <rFont val="微软雅黑"/>
        <charset val="134"/>
      </rPr>
      <t>（抄送给到人事专员）</t>
    </r>
  </si>
  <si>
    <t>姓名、工号、入司时间、计划离职时间、离职原因、具体原因、最后工作日</t>
  </si>
  <si>
    <t>【人员管理-人事异动】
（离职时间提前3天对人事专员进行提醒）</t>
  </si>
  <si>
    <t>离职-手续办理</t>
  </si>
  <si>
    <t>员工离职审批通过后，到了最后工作日，线上发起离职办理流程，减少线下员工找各个环节人员签字确认的环节，提高处理时效及员工体验感。</t>
  </si>
  <si>
    <t>以离职手续办理单的字段进行处理</t>
  </si>
  <si>
    <t>【薪酬管理】-对应科目的相关扣款</t>
  </si>
  <si>
    <t>工牌/厂服补领</t>
  </si>
  <si>
    <t>姓名、工号、补领内容：厂牌、厂服、数量、（自付）金额</t>
  </si>
  <si>
    <t>【薪酬管理】-厂服扣款及厂牌扣款</t>
  </si>
  <si>
    <t>福利券</t>
  </si>
  <si>
    <r>
      <rPr>
        <sz val="11"/>
        <rFont val="微软雅黑"/>
        <charset val="134"/>
      </rPr>
      <t>依据集团福利政策予以推行，</t>
    </r>
    <r>
      <rPr>
        <b/>
        <sz val="11"/>
        <color rgb="FFFF0000"/>
        <rFont val="微软雅黑"/>
        <charset val="134"/>
      </rPr>
      <t xml:space="preserve"> 2028 年上线</t>
    </r>
    <r>
      <rPr>
        <sz val="11"/>
        <rFont val="微软雅黑"/>
        <charset val="134"/>
      </rPr>
      <t>（目前仅管理人员有此福利“员工内购券”）</t>
    </r>
  </si>
  <si>
    <t>暂无</t>
  </si>
  <si>
    <t>考勤确认</t>
  </si>
  <si>
    <t>员工实现线上对考勤进行确认，取消线下组长还一对一对员工考勤进行确认签字。</t>
  </si>
  <si>
    <t>应出勤天数、实际出勤天数、请假天数，未打卡缺勤天数、旷工天数、迟到/早退记缺勤天数</t>
  </si>
  <si>
    <t>【考勤管理】</t>
  </si>
  <si>
    <t>扣款确认</t>
  </si>
  <si>
    <t>员工实现线上对工资明细上的各项扣款进行确认，以确保员工对各项扣款明细的知悉，保障合规合法。</t>
  </si>
  <si>
    <r>
      <rPr>
        <sz val="11"/>
        <color theme="1"/>
        <rFont val="微软雅黑"/>
        <charset val="134"/>
      </rPr>
      <t>后台发起月度各项扣款明细确认界面→员工进行点击确认，员工如果1天未完成确认，推送至直接上级进行提醒，让直接上级提醒员工进行确认，</t>
    </r>
    <r>
      <rPr>
        <sz val="11"/>
        <color rgb="FFFF0000"/>
        <rFont val="微软雅黑"/>
        <charset val="134"/>
      </rPr>
      <t>超过3天默认确认。</t>
    </r>
  </si>
  <si>
    <t>姓名、工号、各项扣款名称及金额</t>
  </si>
  <si>
    <t>【薪酬管理】</t>
  </si>
  <si>
    <t>工资确认</t>
  </si>
  <si>
    <t>员工实现线上对工资条进行确认，取消线下批量纸质签字确认。</t>
  </si>
  <si>
    <r>
      <rPr>
        <sz val="11"/>
        <color theme="1"/>
        <rFont val="微软雅黑"/>
        <charset val="134"/>
      </rPr>
      <t>后台发起月度工资条信息确认界面→员工进行点击确认，员工如果1天未完成确认，推送至直接上级进行提醒，让直接上级提醒员工进行确认，</t>
    </r>
    <r>
      <rPr>
        <sz val="11"/>
        <color rgb="FFFF0000"/>
        <rFont val="微软雅黑"/>
        <charset val="134"/>
      </rPr>
      <t>超过3天默认确认。</t>
    </r>
  </si>
  <si>
    <t>工资表的各个字段</t>
  </si>
  <si>
    <t>考勤查询</t>
  </si>
  <si>
    <t>无</t>
  </si>
  <si>
    <t>工资查询（包括奖惩）</t>
  </si>
  <si>
    <t>无；点击查询体现正在核算中；</t>
  </si>
  <si>
    <t>同MES小程序查询界面</t>
  </si>
  <si>
    <t>制造资讯</t>
  </si>
  <si>
    <t>公告</t>
  </si>
  <si>
    <t>公告发布与查询</t>
  </si>
  <si>
    <r>
      <rPr>
        <sz val="11"/>
        <color rgb="FF000000"/>
        <rFont val="微软雅黑"/>
        <charset val="134"/>
      </rPr>
      <t>类似钉钉公告目前的效果，实现制造全员（管理</t>
    </r>
    <r>
      <rPr>
        <b/>
        <sz val="11"/>
        <color rgb="FFFF0000"/>
        <rFont val="微软雅黑"/>
        <charset val="134"/>
      </rPr>
      <t>+员工</t>
    </r>
    <r>
      <rPr>
        <sz val="11"/>
        <color rgb="FF000000"/>
        <rFont val="微软雅黑"/>
        <charset val="134"/>
      </rPr>
      <t>）覆盖，各类公告、活动消息便捷可查，</t>
    </r>
    <r>
      <rPr>
        <sz val="11"/>
        <color rgb="FFFF0000"/>
        <rFont val="微软雅黑"/>
        <charset val="134"/>
      </rPr>
      <t>可按内容/业务/工作地进行分组</t>
    </r>
    <r>
      <rPr>
        <sz val="11"/>
        <color rgb="FF000000"/>
        <rFont val="微软雅黑"/>
        <charset val="134"/>
      </rPr>
      <t>、精准投放各目标人群</t>
    </r>
  </si>
  <si>
    <r>
      <rPr>
        <sz val="11"/>
        <color theme="1"/>
        <rFont val="微软雅黑"/>
        <charset val="134"/>
      </rPr>
      <t>· 公告支持图片展示、视频播放
· 实行</t>
    </r>
    <r>
      <rPr>
        <sz val="11"/>
        <color rgb="FFFF0000"/>
        <rFont val="微软雅黑"/>
        <charset val="134"/>
      </rPr>
      <t>分级管理</t>
    </r>
    <r>
      <rPr>
        <sz val="11"/>
        <color theme="1"/>
        <rFont val="微软雅黑"/>
        <charset val="134"/>
      </rPr>
      <t>，①指定管理员可按内容/业务/工作地进行消息分组，上传、编辑相关文档/图表等，钉钉公告内容审批由发文单位内部沟通（发文人-直接上级）；②全员可查阅/学习/下载相关公告内容。</t>
    </r>
  </si>
  <si>
    <t>公告名称、发文单位、发文时间、收件人</t>
  </si>
  <si>
    <t>文化天地</t>
  </si>
  <si>
    <t>成长发展</t>
  </si>
  <si>
    <r>
      <rPr>
        <sz val="11"/>
        <color rgb="FF000000"/>
        <rFont val="微软雅黑"/>
        <charset val="134"/>
      </rPr>
      <t>类似</t>
    </r>
    <r>
      <rPr>
        <b/>
        <sz val="11"/>
        <color rgb="FF000000"/>
        <rFont val="微软雅黑"/>
        <charset val="134"/>
      </rPr>
      <t>【钉钉-特智汇端口】</t>
    </r>
    <r>
      <rPr>
        <sz val="11"/>
        <color rgb="FF000000"/>
        <rFont val="微软雅黑"/>
        <charset val="134"/>
      </rPr>
      <t>目前的效果，实现制造全员（管理+员工）覆盖，各类课程/培训通知便捷可查，员工可自行管理自己的学习时长，按需检索海量</t>
    </r>
    <r>
      <rPr>
        <sz val="11"/>
        <color rgb="FFFF0000"/>
        <rFont val="微软雅黑"/>
        <charset val="134"/>
      </rPr>
      <t>免费的学习资源，简单快捷地去学习</t>
    </r>
  </si>
  <si>
    <t>集团统一学习平台“特智汇”端口接入</t>
  </si>
  <si>
    <t>特智汇端口/组件</t>
  </si>
  <si>
    <t>安全小红书</t>
  </si>
  <si>
    <t>行政填写</t>
  </si>
  <si>
    <t>行政服务指南</t>
  </si>
  <si>
    <t>社团管理</t>
  </si>
  <si>
    <r>
      <t>类似</t>
    </r>
    <r>
      <rPr>
        <b/>
        <sz val="11"/>
        <color rgb="FF000000"/>
        <rFont val="微软雅黑"/>
        <charset val="134"/>
      </rPr>
      <t>【钉钉-社团模块】</t>
    </r>
    <r>
      <rPr>
        <sz val="11"/>
        <color rgb="FF000000"/>
        <rFont val="微软雅黑"/>
        <charset val="134"/>
      </rPr>
      <t>目前的效果，实现制造全员（管理+员工）覆盖，跑步/跑团数据同步特步跑步app数据，营造全员跑步第一文化</t>
    </r>
  </si>
  <si>
    <t>“特步跑步”数据同步，展示月跑量、年跑量、月排名、年排名</t>
  </si>
  <si>
    <t>社团/特步跑步端口/组件</t>
  </si>
  <si>
    <t>制度</t>
  </si>
  <si>
    <t>制度发布与查询</t>
  </si>
  <si>
    <r>
      <rPr>
        <sz val="11"/>
        <color rgb="FF000000"/>
        <rFont val="微软雅黑"/>
        <charset val="134"/>
      </rPr>
      <t>类似</t>
    </r>
    <r>
      <rPr>
        <b/>
        <sz val="11"/>
        <color rgb="FF000000"/>
        <rFont val="微软雅黑"/>
        <charset val="134"/>
      </rPr>
      <t>【钉钉-公告/OA】</t>
    </r>
    <r>
      <rPr>
        <sz val="11"/>
        <color rgb="FF000000"/>
        <rFont val="微软雅黑"/>
        <charset val="134"/>
      </rPr>
      <t>等目前的效果，实现</t>
    </r>
    <r>
      <rPr>
        <sz val="11"/>
        <color rgb="FFFF0000"/>
        <rFont val="微软雅黑"/>
        <charset val="134"/>
      </rPr>
      <t>制造全员覆盖</t>
    </r>
    <r>
      <rPr>
        <sz val="11"/>
        <color rgb="FF000000"/>
        <rFont val="微软雅黑"/>
        <charset val="134"/>
      </rPr>
      <t>，依托</t>
    </r>
    <r>
      <rPr>
        <sz val="11"/>
        <color rgb="FFFF0000"/>
        <rFont val="微软雅黑"/>
        <charset val="134"/>
      </rPr>
      <t>公司内部智能体</t>
    </r>
    <r>
      <rPr>
        <sz val="11"/>
        <color rgb="FF000000"/>
        <rFont val="微软雅黑"/>
        <charset val="134"/>
      </rPr>
      <t>，实现制度</t>
    </r>
    <r>
      <rPr>
        <sz val="11"/>
        <color rgb="FFFF0000"/>
        <rFont val="微软雅黑"/>
        <charset val="134"/>
      </rPr>
      <t>内容自行查询</t>
    </r>
  </si>
  <si>
    <r>
      <rPr>
        <sz val="11"/>
        <color theme="1"/>
        <rFont val="微软雅黑"/>
        <charset val="134"/>
      </rPr>
      <t>实行</t>
    </r>
    <r>
      <rPr>
        <b/>
        <sz val="11"/>
        <color rgb="FFFF0000"/>
        <rFont val="微软雅黑"/>
        <charset val="134"/>
      </rPr>
      <t>分级管理</t>
    </r>
    <r>
      <rPr>
        <sz val="11"/>
        <color theme="1"/>
        <rFont val="微软雅黑"/>
        <charset val="134"/>
      </rPr>
      <t>，①指定管理员可上传/下载相关文档（制度审批权限以集团授权为准）；②全员可查阅、学习，不能下载（提升公司知识资产的安全性）。</t>
    </r>
  </si>
  <si>
    <t>OA端口/组件</t>
  </si>
  <si>
    <t>未打卡要做提醒，几天提醒一次</t>
  </si>
  <si>
    <t>未及时确认的例如工资、考勤、扣款等要推送给到组长，未完成要逐级推送，具体规则需提供</t>
  </si>
  <si>
    <t>是否和其他系统对接</t>
  </si>
  <si>
    <t>具体对接功能</t>
  </si>
  <si>
    <t>行政通</t>
  </si>
  <si>
    <t>考勤补卡</t>
  </si>
  <si>
    <t>举例：员工可以自己进行补卡动作。可查看异常补卡天数，以及自己请假等数据；有异常考勤时2-3天推送给到员工，提醒需及时进行补卡</t>
  </si>
  <si>
    <t>举例：员工发起→组长审批，组长2天内未完成审批，推送课长审批，课长2天未完成审批，推送经理审批
每月1号之前完成上月补卡；</t>
  </si>
  <si>
    <t>姓名、工号、补卡日期时间</t>
  </si>
  <si>
    <t>【夏谷系统-考勤管理-打卡管理】</t>
  </si>
  <si>
    <t>此行举例</t>
  </si>
  <si>
    <t>物品放行</t>
  </si>
  <si>
    <t>员工可以自行提交物品放行流程</t>
  </si>
  <si>
    <t>员工发起→按授权审批，流程发起当天内未审批完成并出门该流程失效作废；</t>
  </si>
  <si>
    <t>参考现有功能</t>
  </si>
  <si>
    <t>小程序-特预约-物品放行</t>
  </si>
  <si>
    <t>人员放行</t>
  </si>
  <si>
    <t>员工可以自行提交人员放行流程</t>
  </si>
  <si>
    <t>员工发起→按授权审批，流程发起当天内未审批完成并出门该流程失效作废</t>
  </si>
  <si>
    <t>小程序-特预约-人员放行</t>
  </si>
  <si>
    <t>来访预约</t>
  </si>
  <si>
    <t>外加工厂来对接材料等可以预约员工（如文员、品检等）</t>
  </si>
  <si>
    <t>来访人发起→被访人确认，流程发起当天内未完成到访该流程失效作废</t>
  </si>
  <si>
    <t>小程序-特预约-访客预约</t>
  </si>
  <si>
    <t>安全随手拍</t>
  </si>
  <si>
    <t>员工发现安全隐患可以及时拍照上报</t>
  </si>
  <si>
    <t>员工发起→安全管理部接收确认→回复整改情况</t>
  </si>
  <si>
    <t>小程序-暖心宝-随手拍</t>
  </si>
  <si>
    <t>安全巡更打卡</t>
  </si>
  <si>
    <t>安保员安全巡更打卡，巡查路线、巡查点位、巡查时间全程记录，后台可查看数据巡查情况</t>
  </si>
  <si>
    <t>安保员到点位打卡记录即可</t>
  </si>
  <si>
    <t>时间、点位、巡查情况</t>
  </si>
  <si>
    <t>/</t>
  </si>
  <si>
    <t>住宿申请</t>
  </si>
  <si>
    <t>员工可以自己申请住宿1. 申请流程线上化，告别纸质填表、线下跑腿递交，省时又省力2. 信息自动录入存档，数据清晰可查，台账整理、人员统计更高效</t>
  </si>
  <si>
    <r>
      <t>员工发起</t>
    </r>
    <r>
      <rPr>
        <sz val="11"/>
        <color rgb="FFFF0000"/>
        <rFont val="微软雅黑"/>
        <charset val="134"/>
      </rPr>
      <t>【只有一间宿舍】</t>
    </r>
    <r>
      <rPr>
        <sz val="11"/>
        <color theme="1"/>
        <rFont val="微软雅黑"/>
        <charset val="134"/>
      </rPr>
      <t xml:space="preserve">→宿管审核→课长审批【后勤课长】 </t>
    </r>
    <r>
      <rPr>
        <sz val="11"/>
        <color rgb="FFFF0000"/>
        <rFont val="微软雅黑"/>
        <charset val="134"/>
      </rPr>
      <t>回传暖心宝</t>
    </r>
  </si>
  <si>
    <t>姓名、工号、电话、身份证、水电度数</t>
  </si>
  <si>
    <t>超标住宿申请</t>
  </si>
  <si>
    <t>流程线上化，告别纸质跑腿。标准只能校验，严控合规风险，审批留痕可溯，权责清晰透明。数据实时汇总，管控精细化，办理体验升级，沟通效率提升</t>
  </si>
  <si>
    <r>
      <t>员工发起→部门经理→厂长→后勤课长→行政经理→行政总监→HRBP中心总监→总经理</t>
    </r>
    <r>
      <rPr>
        <sz val="11"/>
        <color rgb="FFFF0000"/>
        <rFont val="微软雅黑"/>
        <charset val="134"/>
      </rPr>
      <t>【扣费金额有标准扣款层级，需要根据标准进行扣款，回传夏谷】</t>
    </r>
  </si>
  <si>
    <t>姓名、工号、部门、职位、电话、现宿舍、意向宿舍、超标原因，生效日期</t>
  </si>
  <si>
    <t>OA-超标住宿申请</t>
  </si>
  <si>
    <t>宿舍报修</t>
  </si>
  <si>
    <r>
      <rPr>
        <sz val="11"/>
        <color rgb="FF000000"/>
        <rFont val="微软雅黑"/>
        <charset val="134"/>
      </rPr>
      <t>一键线上报修，无纸化登记，省时省力， 智能精准派单，压缩维修等待时长， 工单全程留痕，权责可查、合规可控， 进度实时更新，</t>
    </r>
    <r>
      <rPr>
        <sz val="11"/>
        <color rgb="FFFF0000"/>
        <rFont val="微软雅黑"/>
        <charset val="134"/>
      </rPr>
      <t>透明化对接少打扰</t>
    </r>
    <r>
      <rPr>
        <sz val="11"/>
        <color rgb="FF000000"/>
        <rFont val="微软雅黑"/>
        <charset val="134"/>
      </rPr>
      <t>， 数据汇总分析，隐患前置、降本增效</t>
    </r>
  </si>
  <si>
    <t>员工发起→维修工接单→完成</t>
  </si>
  <si>
    <t>姓名、工号、部门、电话、宿舍、宿管员、维修工、电话、报修类型、请填写报修描述、报修图片</t>
  </si>
  <si>
    <t>小程序-暖心宝-宿舍报修</t>
  </si>
  <si>
    <t>宿舍水电及其他查询</t>
  </si>
  <si>
    <t>员工可线上自助查询宿舍月度用水、用电度数及应缴费用，无需线下跑腿咨询行政 / 宿管，数据实时同步、透明可查，告别人工答疑与纸质账单，大幅提升员工查询效率与满意度；行政无需人工统计、打印、分发账单，减少重复答疑工作量，数据自动归档、台账清晰可溯，降本增效，实现宿舍水电管理全流程线上化、透明化。</t>
  </si>
  <si>
    <t>无需审批，员工自助查询；</t>
  </si>
  <si>
    <t>月份、工厂、宿舍楼、房间号、户型、工号、姓名、职级、部门、岗位、入住时间、上月水度数、本月水度数、实际用水、单价、宿舍总水费(元)、本人水费(元)、上月电度数、本月电度数、实际用电、单价（元）、宿舍总电费(元)、本人电费(元)、楼层长奖励费用、卫生评比(正奖负罚)、宿舍超标扣款、维修费(元)、卫生费(元)、6S积分制、总金额(元)</t>
  </si>
  <si>
    <t>小程序-暖心宝-水电查询</t>
  </si>
  <si>
    <r>
      <rPr>
        <sz val="11"/>
        <color rgb="FF000000"/>
        <rFont val="微软雅黑"/>
        <charset val="134"/>
      </rPr>
      <t>新员工报餐</t>
    </r>
    <r>
      <rPr>
        <sz val="11"/>
        <color rgb="FFFF0000"/>
        <rFont val="微软雅黑"/>
        <charset val="134"/>
      </rPr>
      <t>/每月报餐</t>
    </r>
  </si>
  <si>
    <t>线上自助报餐，新员工入职就餐无缝衔接，数据实时汇总，食堂备餐降本不浪费， 流程审批留痕，人事餐补对账清晰透明， 智能统计预判，适配人员动态管控就餐， 告别手工登记，零错报漏报、提效省心</t>
  </si>
  <si>
    <t>员工发起→无需审批（新入职员工：若是当月入职，只能报餐到月底，若是月底最后一天入职，只能报餐下月6号：非新入职人员，只能每月20号到月底进行保存下个月用餐）</t>
  </si>
  <si>
    <t>开始时间、结束时间、用餐地点</t>
  </si>
  <si>
    <t>小程序-暖心宝-报餐</t>
  </si>
  <si>
    <t>家属卡申请</t>
  </si>
  <si>
    <t>员工可以自行提交办理家属证申请。可查看审批进度</t>
  </si>
  <si>
    <t>员工发起→部门经理审核→中心/工厂负责人审批→各园区安全管理部执行</t>
  </si>
  <si>
    <t>OA-制造员工家属证申请流程</t>
  </si>
  <si>
    <t>车位申请</t>
  </si>
  <si>
    <t>员工可以自行提交资料、需求、可查看摇号直播、结果公示</t>
  </si>
  <si>
    <t>员工发起→安全管理部接收审核</t>
  </si>
  <si>
    <t>中心/工厂、部门、姓名、工号、车牌号、联系方式、申请日期</t>
  </si>
  <si>
    <t>困难补助</t>
  </si>
  <si>
    <t>线上申请困难补助，全程留痕可追溯，审批流程透明化，避免线下跑腿，补助发放精准高效，数据统一归档，便于后续统计与帮扶跟进</t>
  </si>
  <si>
    <t>员工发起→部门经理审批→行政助理审核→行政总监→总经理审批</t>
  </si>
  <si>
    <t>姓名、工号、部门、职位、困难类型、补助金额、申请事由、证明材料、联系方式</t>
  </si>
  <si>
    <t>红心向党</t>
  </si>
  <si>
    <t>线上党建活动报名、学习打卡、思想汇报提交，实现党建工作数字化管理，活动参与数据实时统计，学习进度可追溯，提升党员参与度与组织管理效率</t>
  </si>
  <si>
    <t>员工发起→部门经理审批→支部书记【固定人员】→行政总监  【姚总再确认】</t>
  </si>
  <si>
    <t>姓名、工号、部门、身份证号、 联系电话、提出入党申请、入党积极分子的确定和培养教育、发展对象的确定和考察、预备党员的接收、预备党员的教育考察和转正。</t>
  </si>
  <si>
    <t>员工子女就读</t>
  </si>
  <si>
    <t>线上自助申请，员工无需线下跑腿递交材料，信息自动录入存档，数据清晰可查，名额统计、资格校验更高效，审批留痕可溯，权责清晰透明，数据实时汇总，办理体验升级，沟通效率提升</t>
  </si>
  <si>
    <t>员工发起→行政审核【固定人员】</t>
  </si>
  <si>
    <t>姓名、工号、部门、子女姓名、身份证号、证明材料、联系方式</t>
  </si>
  <si>
    <t>幼儿园补贴</t>
  </si>
  <si>
    <t>员工发起→行政审核【材料】【固定人员】</t>
  </si>
  <si>
    <t>姓名、工号、部门、子女姓名、身份证号、就读学校、证明材料，联系方式</t>
  </si>
  <si>
    <t>员工福利</t>
  </si>
  <si>
    <t>线上福利申领、节日福利发放、福利查询、福利兑换，实现福利发放全流程线上化，发放数据实时统计，员工申领便捷高效，福利台账清晰可查，提升员工满意度</t>
  </si>
  <si>
    <t>节日福利发放：无需员工申请，行政统一发放，员工自助查询  生日等提醒
福利申领：员工发起→部门负责人审批→行政审核  【需再次梳理流程】</t>
  </si>
  <si>
    <t>姓名、工号、部门、福利类型、申领金额 / 物品、申领时间、发放状态、发放时间</t>
  </si>
  <si>
    <t>OA</t>
  </si>
  <si>
    <t>设备报修</t>
  </si>
  <si>
    <t>上班时间员工手机基本处于关机状态，设备报修、点检、报修都有组长申请，取消</t>
  </si>
  <si>
    <t>参考现有EAM系统流程</t>
  </si>
  <si>
    <t>设备点检</t>
  </si>
  <si>
    <t>设备保养</t>
  </si>
  <si>
    <t>满意度调研</t>
  </si>
  <si>
    <t>支持 HR 发起匿名 / 实名调研问卷，员工可在线填写提交；自动统计问卷结果，生成可视化报表，帮助管理者了解员工满意度与诉求。</t>
  </si>
  <si>
    <t>未提交的是否二次提醒，【人资再次梳理】</t>
  </si>
  <si>
    <t>意见反馈</t>
  </si>
  <si>
    <t>员工可提交工作建议、问题投诉或系统 BUG 反馈，支持图文附件上传；提交后可查看处理进度与回复，实现闭环沟通。</t>
  </si>
  <si>
    <t>普通建议由行政专员 1 个工作日内受理；投诉类反馈自动流转至对应部门负责人；超时未处理将推送上级管理员。；【行政再梳理流程，再次讨论】</t>
  </si>
  <si>
    <t>反馈主题、反馈类型、提交人、提交时间、附件、处理状态、回复内容</t>
  </si>
  <si>
    <t>文化资讯</t>
  </si>
  <si>
    <t>线上公告一键发布、实时推送，员工自助查询，告别线下打印张贴，通知触达更及时、覆盖更全面，公告台账清晰可查，数据实时汇总，员工查阅留痕可溯，沟通效率大幅提升</t>
  </si>
  <si>
    <t>行政发起→无需审批（行政统一发布，员工自助查询）</t>
  </si>
  <si>
    <t>员工可以及时收到相关的安全知识、安全信息、安全操作流程等</t>
  </si>
  <si>
    <t>安全管理部发起→员工接收</t>
  </si>
  <si>
    <t>集中展示公司行政流程、办公指引、福利政策、常见问题解答，员工可按分类检索，获取办事指南与表单下载入口。</t>
  </si>
  <si>
    <t>取消</t>
  </si>
  <si>
    <t>集中管理公司规章制度、通知公告，员工可按关键词检索、在线阅读、收藏常用制度；支持版本管理，区分生效 / 失效制度。</t>
  </si>
  <si>
    <t>生产通</t>
  </si>
  <si>
    <t>MES报工</t>
  </si>
  <si>
    <t>MES员工报账，冲裁段，针车支流等；服装板块</t>
  </si>
  <si>
    <t>同MES现有系统</t>
  </si>
  <si>
    <t>MES</t>
  </si>
  <si>
    <t>报工确认</t>
  </si>
  <si>
    <t>员工提交个人报工数据，经班组长审核确认后，正式纳入生产统计，确保报工数据真实可追溯，减少</t>
  </si>
  <si>
    <t>按员工报账自动申请/针车成型根据实际产量自动申请 → 班组长确认→ 课长审核通过；</t>
  </si>
  <si>
    <t>报工审核</t>
  </si>
  <si>
    <t>生管经理对班组报工数据进行终审，汇总核实生产总量，对异常数据进行驳回调整，保障生产数据准确性</t>
  </si>
  <si>
    <t>仓库扫描</t>
  </si>
  <si>
    <t>扫码完成物料 / 成品出入库操作，系统实时同步库存数据，实现生产物料全流程追溯，库存动态实时更新</t>
  </si>
  <si>
    <t>报工明细查询</t>
  </si>
  <si>
    <t>员工 / 管理者可按时间范围、工序维度，查询个人或部门的详细报工记录，清晰核对生产工作量</t>
  </si>
  <si>
    <t>件资查询</t>
  </si>
  <si>
    <t>工序明细，单价，总工资，扣款项，奖金，五险一金等总工资</t>
  </si>
  <si>
    <t>仅可见自己的件资</t>
  </si>
  <si>
    <t>样鞋管理</t>
  </si>
  <si>
    <t>实现样鞋制作、入库、领用、报废全流程管理，记录样鞋类型、归属部门及使用状态，保障样鞋物料可控</t>
  </si>
  <si>
    <t>需重新梳理</t>
  </si>
  <si>
    <t>异常类型、上报时间、处理状态</t>
  </si>
  <si>
    <t>件资异常上报</t>
  </si>
  <si>
    <t>员工发现生产异常（如物料短缺、设备故障、工序错误）可直接上报，同步至直接上级，推动问题快速解决</t>
  </si>
  <si>
    <t>直接上级知晓，可反馈问题 / 提建议</t>
  </si>
  <si>
    <t>其他</t>
  </si>
  <si>
    <t>员工意见箱</t>
  </si>
  <si>
    <t>直接上级知晓</t>
  </si>
  <si>
    <t>通过直接上级</t>
  </si>
  <si>
    <t>企业发布全员公告、重要通知，员工可随时查阅，确保信息统一触达，无遗漏</t>
  </si>
  <si>
    <t>查询</t>
  </si>
  <si>
    <t>企业管理制度、规范文件统一发布存档，员工可查阅学习，保障制度公开透明</t>
  </si>
  <si>
    <t>基本信息</t>
  </si>
  <si>
    <t>应发项</t>
  </si>
  <si>
    <t>应扣项</t>
  </si>
  <si>
    <t>本月结余</t>
  </si>
  <si>
    <t>本月实发</t>
  </si>
  <si>
    <t>序号</t>
  </si>
  <si>
    <t>部门</t>
  </si>
  <si>
    <t>班组</t>
  </si>
  <si>
    <t>工号</t>
  </si>
  <si>
    <t>姓名</t>
  </si>
  <si>
    <t>上月结余</t>
  </si>
  <si>
    <t>计时</t>
  </si>
  <si>
    <t>计件</t>
  </si>
  <si>
    <t>工龄</t>
  </si>
  <si>
    <t>餐费住房补贴</t>
  </si>
  <si>
    <t>其他补贴</t>
  </si>
  <si>
    <t>日常奖励</t>
  </si>
  <si>
    <t>满勤补贴</t>
  </si>
  <si>
    <t>计时绩效</t>
  </si>
  <si>
    <t>计时转计件</t>
  </si>
  <si>
    <t>应发项小计</t>
  </si>
  <si>
    <t>材料</t>
  </si>
  <si>
    <t>针线</t>
  </si>
  <si>
    <t>日常惩罚</t>
  </si>
  <si>
    <t>水电</t>
  </si>
  <si>
    <t>五险一金个人扣款</t>
  </si>
  <si>
    <t>餐费扣款</t>
  </si>
  <si>
    <t>住房扣款</t>
  </si>
  <si>
    <t>其他扣款</t>
  </si>
  <si>
    <t>互助基金</t>
  </si>
  <si>
    <t>个税扣款</t>
  </si>
  <si>
    <t>应扣项小计</t>
  </si>
  <si>
    <t>员工发起→直接上级审批，直接上级1天内未完成审批，进行提醒，提醒直接上级进行审批通过。
每月1号之前完成上月补卡；</t>
    <phoneticPr fontId="19" type="noConversion"/>
  </si>
  <si>
    <t>【考勤管理-打卡管理】</t>
    <phoneticPr fontId="19" type="noConversion"/>
  </si>
  <si>
    <t>员工发起→直接上级、间接上级及间接上级的直属领导审批，每个环节审批均在1天内未完成审批，未审批的环节超过1天进行提醒，提醒该环节审批人进行审批通过。
每月1号之前完成上月补卡；
审批流程：
连续3天（含）以内：直接上级；
连续3-7天（含）以内：直接上级+间接上级；
连续7天以上：直接上级+间接上级+间接上级的直属领导。</t>
    <phoneticPr fontId="19" type="noConversion"/>
  </si>
  <si>
    <t>员工发起——直接上级审批后——抄送人事专员</t>
    <phoneticPr fontId="19" type="noConversion"/>
  </si>
  <si>
    <t>工厂/中心内调动：调出工厂/中心人事专员→员工本人确认→原直接上级→原部门经理→现直接上级→现部门经理→工厂/中心负责人；
跨工厂/中心调动：调出人资BP发起→员工本人确认→原直接上级→原部门经理→原工厂/中心负责人→现直接上级→现部门经理→调入人资BP负责人→现工厂/中心负责人→制造人资负责人→事业部总经理；</t>
    <phoneticPr fontId="19" type="noConversion"/>
  </si>
  <si>
    <r>
      <t>人事专员发起→员工确认→直接上级确认（材料扣款等）→人资/行政各个窗口人员办理</t>
    </r>
    <r>
      <rPr>
        <b/>
        <sz val="11"/>
        <color rgb="FFFF0000"/>
        <rFont val="微软雅黑"/>
        <charset val="134"/>
      </rPr>
      <t>（抄送各工厂薪酬专员）</t>
    </r>
    <phoneticPr fontId="19" type="noConversion"/>
  </si>
  <si>
    <t>员工可以自己进行工牌/厂服的补领动作，数据归口关联至工资核算扣款，不重不漏、不产生现金交易。</t>
    <phoneticPr fontId="19" type="noConversion"/>
  </si>
  <si>
    <r>
      <t>员工发起→上级审批（组长/经理即可）→HR填写待扣金额→HR/总仓给予物资发放→员工本人确认扣款金额→推送薪资核算扣款</t>
    </r>
    <r>
      <rPr>
        <sz val="11"/>
        <color rgb="FFFF0000"/>
        <rFont val="微软雅黑"/>
        <charset val="134"/>
      </rPr>
      <t>【厂牌由HR,厂服由总仓】</t>
    </r>
    <phoneticPr fontId="19" type="noConversion"/>
  </si>
  <si>
    <r>
      <t>后台发起月度考勤确认界面→员工进行点击确认，员工如果1天未完成确认，推送至直接上级进行提醒，让直接上级提醒员工进行确认，</t>
    </r>
    <r>
      <rPr>
        <sz val="11"/>
        <color rgb="FFFF0000"/>
        <rFont val="微软雅黑"/>
        <charset val="134"/>
      </rPr>
      <t>超过3天默认确认</t>
    </r>
    <r>
      <rPr>
        <sz val="11"/>
        <color theme="1"/>
        <rFont val="微软雅黑"/>
        <charset val="134"/>
      </rPr>
      <t>。</t>
    </r>
    <phoneticPr fontId="19" type="noConversion"/>
  </si>
  <si>
    <t>员工随时查询了解自己每个月的考勤出勤情况</t>
    <phoneticPr fontId="19" type="noConversion"/>
  </si>
  <si>
    <t>应出勤天数、实际出勤天数、请假天数，未打卡缺勤天数、旷工天数、迟到/早退记缺勤天数</t>
    <phoneticPr fontId="19" type="noConversion"/>
  </si>
  <si>
    <t>员工随时查询了解自己每个月的工资明细情况</t>
    <phoneticPr fontId="19" type="noConversion"/>
  </si>
  <si>
    <t>员工可以自己进行补卡动作。可查看异常补卡天数，漏打卡导致的考勤异常，2-3天推送给到员工，提醒需及时进行补卡；补卡次数限制3次，超3次不允许补卡</t>
    <phoneticPr fontId="19" type="noConversion"/>
  </si>
  <si>
    <t>员工可以自己事先发起请假流程，临时突发急事未能提前发起请假流程导致的考勤异常，2-3天推送给到员工，提醒需及时进行提交请假</t>
    <phoneticPr fontId="19" type="noConversion"/>
  </si>
  <si>
    <r>
      <t>住宿申请：</t>
    </r>
    <r>
      <rPr>
        <sz val="11"/>
        <color theme="1"/>
        <rFont val="微软雅黑"/>
        <charset val="134"/>
      </rPr>
      <t>员工发起→宿管审核→后勤课长审批</t>
    </r>
    <r>
      <rPr>
        <sz val="11"/>
        <color rgb="FFFF0000"/>
        <rFont val="微软雅黑"/>
        <charset val="134"/>
      </rPr>
      <t xml:space="preserve">
调换申请：员工发起→宿管审核→后勤课长审批
退宿申请：员工发起→宿管审批</t>
    </r>
    <phoneticPr fontId="19" type="noConversion"/>
  </si>
  <si>
    <r>
      <rPr>
        <sz val="11"/>
        <color theme="1"/>
        <rFont val="微软雅黑"/>
        <charset val="134"/>
      </rPr>
      <t>住宿：姓名、工号、电话、身份证、</t>
    </r>
    <r>
      <rPr>
        <sz val="11"/>
        <color rgb="FFFF0000"/>
        <rFont val="微软雅黑"/>
        <charset val="134"/>
      </rPr>
      <t>中心/系统、职务、水电度数（宿管填写）、楼栋房号（宿管匹配）</t>
    </r>
    <r>
      <rPr>
        <sz val="11"/>
        <color theme="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调换宿舍：姓名、工号、电话、现住楼栋号、意向楼栋号、备注（调换原因填写）</t>
    </r>
    <r>
      <rPr>
        <sz val="11"/>
        <color theme="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退宿：姓名、工号、楼栋号、电表度数（上传电表照片）、</t>
    </r>
  </si>
  <si>
    <t>员工发起→组长→课长→部门经理→厂长→后勤课长→行政经理→行政总监→HRBP中心总监→总经理</t>
    <phoneticPr fontId="19" type="noConversion"/>
  </si>
  <si>
    <t>一键线上报修，无纸化登记，省时省力， 智能精准派单，压缩维修等待时长， 工单全程留痕，权责可查、合规可控， 进度实时更新，透明化对接少打扰， 数据汇总分析，隐患前置、降本增效</t>
  </si>
  <si>
    <r>
      <t>员工发起→</t>
    </r>
    <r>
      <rPr>
        <sz val="11"/>
        <color rgb="FFFF0000"/>
        <rFont val="微软雅黑"/>
        <charset val="134"/>
      </rPr>
      <t>工程接单/转单</t>
    </r>
    <r>
      <rPr>
        <sz val="11"/>
        <rFont val="微软雅黑"/>
        <charset val="134"/>
      </rPr>
      <t xml:space="preserve">→完成
</t>
    </r>
    <r>
      <rPr>
        <sz val="11"/>
        <color rgb="FFFF0000"/>
        <rFont val="微软雅黑"/>
        <charset val="134"/>
      </rPr>
      <t>（材料不齐时）员工发起→退单（标记：材料不足，待补）</t>
    </r>
    <phoneticPr fontId="19" type="noConversion"/>
  </si>
  <si>
    <t>姓名、工号、部门、电话、宿舍、宿管员、维修工、电话、报修类型、请填写报修描述、报修图片、</t>
  </si>
  <si>
    <t>字段待确认</t>
  </si>
  <si>
    <t>无需审批，员工自助查询</t>
  </si>
  <si>
    <t>新员工报餐/每月报餐</t>
  </si>
  <si>
    <t>员工发起→无需审批（新入职员工：若是当月入职，只能报餐到月底，若是月底最后一天入职，只能报餐下月6号：非新入职人员，只能每月20号到月底进行保存下个月用餐）</t>
    <phoneticPr fontId="19" type="noConversion"/>
  </si>
  <si>
    <t>员工可以自行提交办理家属证申请。可查看审批进度</t>
    <phoneticPr fontId="19" type="noConversion"/>
  </si>
  <si>
    <t>员工发起→部门负责人审核→中心/工厂负责人审批→各园区安全管理部执行</t>
    <phoneticPr fontId="19" type="noConversion"/>
  </si>
  <si>
    <t>员工可以自行提交资料、需求、可查看摇号直播、结果公示</t>
    <phoneticPr fontId="19" type="noConversion"/>
  </si>
  <si>
    <t>员工发起→安全管理部接收审核</t>
    <phoneticPr fontId="19" type="noConversion"/>
  </si>
  <si>
    <t>线上申请困难补助，全程留痕可追溯，审批流程透明化，避免线下跑腿，补助发放精准高效，数据统一归档，便于后续统计与帮扶跟进</t>
    <phoneticPr fontId="19" type="noConversion"/>
  </si>
  <si>
    <t>员工发起→部门负责人审批→工会审核→行政总监→总经理审批</t>
    <phoneticPr fontId="19" type="noConversion"/>
  </si>
  <si>
    <t>线上党建活动报名、学习打卡、思想汇报提交，实现党建工作数字化管理，活动参与数据实时统计，学习进度可追溯，提升党员参与度与组织管理效率</t>
    <phoneticPr fontId="19" type="noConversion"/>
  </si>
  <si>
    <t>员工发起→部门负责人审批→支部书记→行政总监</t>
    <phoneticPr fontId="19" type="noConversion"/>
  </si>
  <si>
    <t>审批流程姚总有确认过</t>
  </si>
  <si>
    <t>四点半学堂</t>
    <phoneticPr fontId="19" type="noConversion"/>
  </si>
  <si>
    <t>线上自助申请，员工无需线下跑腿递交材料，信息自动录入存档，数据清晰可查，名额统计、资格校验更高效，审批留痕可溯，权责清晰透明，数据实时汇总，办理体验升级，沟通效率提升</t>
    <phoneticPr fontId="19" type="noConversion"/>
  </si>
  <si>
    <r>
      <t>员工发起→</t>
    </r>
    <r>
      <rPr>
        <sz val="11"/>
        <color rgb="FFFF0000"/>
        <rFont val="微软雅黑"/>
        <charset val="134"/>
      </rPr>
      <t>行政固定人员审核（叶定琼）</t>
    </r>
    <phoneticPr fontId="19" type="noConversion"/>
  </si>
  <si>
    <r>
      <t>员工发起→</t>
    </r>
    <r>
      <rPr>
        <sz val="11"/>
        <color rgb="FFFF0000"/>
        <rFont val="微软雅黑"/>
        <charset val="134"/>
      </rPr>
      <t>行政固定人员审核（叶定琼）（当月15号前补贴75元，15号后无补贴，次月起补贴150元）</t>
    </r>
    <phoneticPr fontId="19" type="noConversion"/>
  </si>
  <si>
    <r>
      <rPr>
        <sz val="11"/>
        <color theme="1"/>
        <rFont val="微软雅黑"/>
        <charset val="134"/>
      </rPr>
      <t>姓名、工号、部门、子女姓名、身份证号、就读学校、证明材料（</t>
    </r>
    <r>
      <rPr>
        <sz val="11"/>
        <color rgb="FFFF0000"/>
        <rFont val="微软雅黑"/>
        <charset val="134"/>
      </rPr>
      <t>户口本全本复印-如小孩与职工不在同一户口本上需提供结婚证及出生证明、居住证复印件或办理居住证条件复印件、厂牌复印件）</t>
    </r>
    <r>
      <rPr>
        <sz val="11"/>
        <color theme="1"/>
        <rFont val="微软雅黑"/>
        <charset val="134"/>
      </rPr>
      <t>，联系方式</t>
    </r>
  </si>
  <si>
    <t>厂服领取</t>
  </si>
  <si>
    <t>一进一出数据清晰，数据与实物统一</t>
  </si>
  <si>
    <t>员工发起→组长审核→经理审批</t>
    <phoneticPr fontId="19" type="noConversion"/>
  </si>
  <si>
    <t xml:space="preserve">生日福利：提醒员工生日当天到食堂享用生日餐，无需员工确认
</t>
    <phoneticPr fontId="19" type="noConversion"/>
  </si>
  <si>
    <t>字段删除</t>
  </si>
  <si>
    <t>由人力资源确认</t>
  </si>
  <si>
    <t>普通建议由行政专员 1 个工作日内受理；投诉类反馈自动流转至对应部门负责人；超时未处理将推送上级管理员。</t>
  </si>
  <si>
    <t>待吴英确认</t>
  </si>
  <si>
    <t>由行政投放住宿服务宣传视频</t>
  </si>
  <si>
    <t>应该由人力资源确认？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</si>
</sst>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2"/>
      <color theme="1"/>
      <name val="宋体"/>
      <charset val="134"/>
      <scheme val="minor"/>
    </font>
    <font>
      <b/>
      <sz val="9"/>
      <color rgb="FF000000"/>
      <name val="微软雅黑"/>
      <charset val="134"/>
    </font>
    <font>
      <sz val="11"/>
      <color rgb="FF000000"/>
      <name val="微软雅黑"/>
      <charset val="134"/>
    </font>
    <font>
      <strike/>
      <sz val="12"/>
      <color theme="1"/>
      <name val="宋体"/>
      <charset val="134"/>
      <scheme val="minor"/>
    </font>
    <font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theme="1"/>
      <name val="微软雅黑"/>
      <charset val="134"/>
    </font>
    <font>
      <strike/>
      <sz val="11"/>
      <color rgb="FF000000"/>
      <name val="微软雅黑"/>
      <charset val="134"/>
    </font>
    <font>
      <strike/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trike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9"/>
      <name val="宋体"/>
      <charset val="134"/>
      <scheme val="minor"/>
    </font>
    <font>
      <b/>
      <sz val="11"/>
      <name val="微软雅黑"/>
      <charset val="134"/>
    </font>
    <font>
      <sz val="12"/>
      <color rgb="FFFF0000"/>
      <name val="微软雅黑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2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8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vertical="center" wrapText="1"/>
    </xf>
    <xf numFmtId="0" fontId="9" fillId="2" borderId="7" xfId="0" applyFont="1" applyFill="1" applyBorder="1">
      <alignment vertical="center"/>
    </xf>
    <xf numFmtId="0" fontId="9" fillId="2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9" fillId="0" borderId="7" xfId="0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9" fillId="4" borderId="7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0" fillId="3" borderId="0" xfId="0" applyFill="1">
      <alignment vertical="center"/>
    </xf>
    <xf numFmtId="0" fontId="9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7" xfId="0" applyFont="1" applyFill="1" applyBorder="1">
      <alignment vertic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>
      <alignment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/>
    <xf numFmtId="0" fontId="15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9" fillId="6" borderId="7" xfId="0" applyFont="1" applyFill="1" applyBorder="1">
      <alignment vertical="center"/>
    </xf>
    <xf numFmtId="0" fontId="9" fillId="6" borderId="7" xfId="0" applyFont="1" applyFill="1" applyBorder="1" applyAlignment="1">
      <alignment horizontal="center" vertical="center"/>
    </xf>
    <xf numFmtId="0" fontId="17" fillId="6" borderId="7" xfId="0" applyFont="1" applyFill="1" applyBorder="1">
      <alignment vertical="center"/>
    </xf>
    <xf numFmtId="0" fontId="11" fillId="5" borderId="7" xfId="0" applyFont="1" applyFill="1" applyBorder="1" applyAlignment="1">
      <alignment vertical="center" wrapText="1"/>
    </xf>
    <xf numFmtId="0" fontId="17" fillId="5" borderId="7" xfId="0" applyFont="1" applyFill="1" applyBorder="1" applyAlignment="1">
      <alignment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horizontal="center" vertical="center"/>
    </xf>
    <xf numFmtId="0" fontId="17" fillId="5" borderId="7" xfId="0" applyFont="1" applyFill="1" applyBorder="1">
      <alignment vertical="center"/>
    </xf>
    <xf numFmtId="0" fontId="17" fillId="2" borderId="7" xfId="0" applyFont="1" applyFill="1" applyBorder="1">
      <alignment vertical="center"/>
    </xf>
    <xf numFmtId="0" fontId="2" fillId="5" borderId="7" xfId="0" applyFont="1" applyFill="1" applyBorder="1" applyAlignment="1">
      <alignment horizontal="center" vertical="center"/>
    </xf>
    <xf numFmtId="0" fontId="9" fillId="6" borderId="0" xfId="0" applyFont="1" applyFill="1">
      <alignment vertical="center"/>
    </xf>
    <xf numFmtId="0" fontId="20" fillId="0" borderId="7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10" fillId="0" borderId="7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23" fillId="0" borderId="7" xfId="0" applyFont="1" applyFill="1" applyBorder="1" applyAlignment="1">
      <alignment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vertical="center" wrapText="1"/>
    </xf>
    <xf numFmtId="0" fontId="10" fillId="0" borderId="0" xfId="0" applyFont="1" applyAlignme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www.wps.cn/officeDocument/2023/relationships/customStorage" Target="customStorage/customStorage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4"/>
  <sheetViews>
    <sheetView tabSelected="1" zoomScaleNormal="100" workbookViewId="0">
      <pane xSplit="2" ySplit="1" topLeftCell="D8" activePane="bottomRight" state="frozen"/>
      <selection pane="topRight"/>
      <selection pane="bottomLeft"/>
      <selection pane="bottomRight" activeCell="D3" sqref="D3"/>
    </sheetView>
  </sheetViews>
  <sheetFormatPr defaultColWidth="8.83203125" defaultRowHeight="14" customHeight="1"/>
  <cols>
    <col min="1" max="1" width="9.6640625" style="3" customWidth="1"/>
    <col min="2" max="2" width="10.6640625" style="3" customWidth="1"/>
    <col min="3" max="3" width="13.83203125" style="5" customWidth="1"/>
    <col min="4" max="4" width="46.58203125" style="5" customWidth="1"/>
    <col min="5" max="5" width="47.6640625" style="29" customWidth="1"/>
    <col min="6" max="6" width="30.4140625" style="29" customWidth="1"/>
    <col min="7" max="7" width="15.83203125" style="29" customWidth="1"/>
    <col min="8" max="8" width="22.58203125" style="29" customWidth="1"/>
    <col min="9" max="9" width="15.1640625" style="29" customWidth="1"/>
    <col min="10" max="16384" width="8.83203125" style="29"/>
  </cols>
  <sheetData>
    <row r="1" spans="1:8" s="67" customFormat="1" ht="31.5" customHeight="1">
      <c r="A1" s="68" t="s">
        <v>0</v>
      </c>
      <c r="B1" s="68" t="s">
        <v>1</v>
      </c>
      <c r="C1" s="68" t="s">
        <v>2</v>
      </c>
      <c r="D1" s="69" t="s">
        <v>3</v>
      </c>
      <c r="E1" s="68" t="s">
        <v>4</v>
      </c>
      <c r="F1" s="68" t="s">
        <v>5</v>
      </c>
      <c r="G1" s="68" t="s">
        <v>6</v>
      </c>
      <c r="H1" s="68" t="s">
        <v>7</v>
      </c>
    </row>
    <row r="2" spans="1:8" ht="50" customHeight="1">
      <c r="A2" s="118" t="s">
        <v>8</v>
      </c>
      <c r="B2" s="118" t="s">
        <v>9</v>
      </c>
      <c r="C2" s="32" t="s">
        <v>10</v>
      </c>
      <c r="D2" s="70" t="s">
        <v>264</v>
      </c>
      <c r="E2" s="71" t="s">
        <v>252</v>
      </c>
      <c r="F2" s="71" t="s">
        <v>11</v>
      </c>
      <c r="G2" s="72" t="s">
        <v>12</v>
      </c>
      <c r="H2" s="73" t="s">
        <v>253</v>
      </c>
    </row>
    <row r="3" spans="1:8" ht="147" customHeight="1">
      <c r="A3" s="118"/>
      <c r="B3" s="118"/>
      <c r="C3" s="32" t="s">
        <v>14</v>
      </c>
      <c r="D3" s="70" t="s">
        <v>265</v>
      </c>
      <c r="E3" s="71" t="s">
        <v>254</v>
      </c>
      <c r="F3" s="71" t="s">
        <v>15</v>
      </c>
      <c r="G3" s="72" t="s">
        <v>12</v>
      </c>
      <c r="H3" s="73" t="s">
        <v>13</v>
      </c>
    </row>
    <row r="4" spans="1:8" ht="155.5" customHeight="1">
      <c r="A4" s="118"/>
      <c r="B4" s="118"/>
      <c r="C4" s="32" t="s">
        <v>16</v>
      </c>
      <c r="D4" s="70" t="s">
        <v>17</v>
      </c>
      <c r="E4" s="71" t="s">
        <v>255</v>
      </c>
      <c r="F4" s="71" t="s">
        <v>18</v>
      </c>
      <c r="G4" s="72" t="s">
        <v>12</v>
      </c>
      <c r="H4" s="73" t="s">
        <v>13</v>
      </c>
    </row>
    <row r="5" spans="1:8" s="3" customFormat="1" ht="48.5" customHeight="1">
      <c r="A5" s="118"/>
      <c r="B5" s="118"/>
      <c r="C5" s="32" t="s">
        <v>19</v>
      </c>
      <c r="D5" s="74" t="s">
        <v>20</v>
      </c>
      <c r="E5" s="75" t="s">
        <v>21</v>
      </c>
      <c r="F5" s="75" t="s">
        <v>22</v>
      </c>
      <c r="G5" s="76" t="s">
        <v>23</v>
      </c>
      <c r="H5" s="77"/>
    </row>
    <row r="6" spans="1:8" ht="136.5" customHeight="1">
      <c r="A6" s="118"/>
      <c r="B6" s="118"/>
      <c r="C6" s="32" t="s">
        <v>24</v>
      </c>
      <c r="D6" s="47" t="s">
        <v>25</v>
      </c>
      <c r="E6" s="50" t="s">
        <v>256</v>
      </c>
      <c r="F6" s="48" t="s">
        <v>26</v>
      </c>
      <c r="G6" s="72" t="s">
        <v>12</v>
      </c>
      <c r="H6" s="73" t="s">
        <v>27</v>
      </c>
    </row>
    <row r="7" spans="1:8" ht="66.5" customHeight="1">
      <c r="A7" s="118"/>
      <c r="B7" s="118"/>
      <c r="C7" s="32" t="s">
        <v>28</v>
      </c>
      <c r="D7" s="47" t="s">
        <v>29</v>
      </c>
      <c r="E7" s="50" t="s">
        <v>30</v>
      </c>
      <c r="F7" s="50" t="s">
        <v>31</v>
      </c>
      <c r="G7" s="72" t="s">
        <v>12</v>
      </c>
      <c r="H7" s="71" t="s">
        <v>32</v>
      </c>
    </row>
    <row r="8" spans="1:8" ht="63.5" customHeight="1">
      <c r="A8" s="118"/>
      <c r="B8" s="118"/>
      <c r="C8" s="32" t="s">
        <v>33</v>
      </c>
      <c r="D8" s="47" t="s">
        <v>34</v>
      </c>
      <c r="E8" s="50" t="s">
        <v>257</v>
      </c>
      <c r="F8" s="48" t="s">
        <v>35</v>
      </c>
      <c r="G8" s="72" t="s">
        <v>12</v>
      </c>
      <c r="H8" s="71" t="s">
        <v>36</v>
      </c>
    </row>
    <row r="9" spans="1:8" ht="59.5" customHeight="1">
      <c r="A9" s="118"/>
      <c r="B9" s="118"/>
      <c r="C9" s="32" t="s">
        <v>37</v>
      </c>
      <c r="D9" s="70" t="s">
        <v>258</v>
      </c>
      <c r="E9" s="71" t="s">
        <v>259</v>
      </c>
      <c r="F9" s="79" t="s">
        <v>38</v>
      </c>
      <c r="G9" s="72" t="s">
        <v>12</v>
      </c>
      <c r="H9" s="71" t="s">
        <v>39</v>
      </c>
    </row>
    <row r="10" spans="1:8" ht="53" customHeight="1">
      <c r="A10" s="118"/>
      <c r="B10" s="118"/>
      <c r="C10" s="32" t="s">
        <v>40</v>
      </c>
      <c r="D10" s="80" t="s">
        <v>41</v>
      </c>
      <c r="E10" s="81" t="s">
        <v>42</v>
      </c>
      <c r="F10" s="81" t="s">
        <v>42</v>
      </c>
      <c r="G10" s="82" t="s">
        <v>23</v>
      </c>
      <c r="H10" s="83"/>
    </row>
    <row r="11" spans="1:8" ht="63" customHeight="1">
      <c r="A11" s="118"/>
      <c r="B11" s="118"/>
      <c r="C11" s="32" t="s">
        <v>43</v>
      </c>
      <c r="D11" s="70" t="s">
        <v>44</v>
      </c>
      <c r="E11" s="71" t="s">
        <v>260</v>
      </c>
      <c r="F11" s="71" t="s">
        <v>45</v>
      </c>
      <c r="G11" s="72" t="s">
        <v>12</v>
      </c>
      <c r="H11" s="73" t="s">
        <v>46</v>
      </c>
    </row>
    <row r="12" spans="1:8" ht="49.5">
      <c r="A12" s="118"/>
      <c r="B12" s="118"/>
      <c r="C12" s="32" t="s">
        <v>47</v>
      </c>
      <c r="D12" s="70" t="s">
        <v>48</v>
      </c>
      <c r="E12" s="71" t="s">
        <v>49</v>
      </c>
      <c r="F12" s="73" t="s">
        <v>50</v>
      </c>
      <c r="G12" s="72" t="s">
        <v>12</v>
      </c>
      <c r="H12" s="73" t="s">
        <v>51</v>
      </c>
    </row>
    <row r="13" spans="1:8" ht="60" customHeight="1">
      <c r="A13" s="118"/>
      <c r="B13" s="118"/>
      <c r="C13" s="32" t="s">
        <v>52</v>
      </c>
      <c r="D13" s="70" t="s">
        <v>53</v>
      </c>
      <c r="E13" s="71" t="s">
        <v>54</v>
      </c>
      <c r="F13" s="73" t="s">
        <v>55</v>
      </c>
      <c r="G13" s="72" t="s">
        <v>12</v>
      </c>
      <c r="H13" s="73" t="s">
        <v>51</v>
      </c>
    </row>
    <row r="14" spans="1:8" ht="67" customHeight="1">
      <c r="A14" s="118"/>
      <c r="B14" s="118"/>
      <c r="C14" s="32" t="s">
        <v>56</v>
      </c>
      <c r="D14" s="70" t="s">
        <v>261</v>
      </c>
      <c r="E14" s="73" t="s">
        <v>57</v>
      </c>
      <c r="F14" s="71" t="s">
        <v>262</v>
      </c>
      <c r="G14" s="72" t="s">
        <v>12</v>
      </c>
      <c r="H14" s="73" t="s">
        <v>46</v>
      </c>
    </row>
    <row r="15" spans="1:8" ht="53.5" customHeight="1">
      <c r="A15" s="118"/>
      <c r="B15" s="118"/>
      <c r="C15" s="19" t="s">
        <v>58</v>
      </c>
      <c r="D15" s="70" t="s">
        <v>263</v>
      </c>
      <c r="E15" s="84" t="s">
        <v>59</v>
      </c>
      <c r="F15" s="71" t="s">
        <v>60</v>
      </c>
      <c r="G15" s="72" t="s">
        <v>12</v>
      </c>
      <c r="H15" s="73" t="s">
        <v>51</v>
      </c>
    </row>
    <row r="16" spans="1:8" ht="82.5">
      <c r="A16" s="119" t="s">
        <v>61</v>
      </c>
      <c r="B16" s="32" t="s">
        <v>62</v>
      </c>
      <c r="C16" s="32" t="s">
        <v>63</v>
      </c>
      <c r="D16" s="78" t="s">
        <v>64</v>
      </c>
      <c r="E16" s="85" t="s">
        <v>65</v>
      </c>
      <c r="F16" s="86" t="s">
        <v>66</v>
      </c>
      <c r="G16" s="87" t="s">
        <v>23</v>
      </c>
      <c r="H16" s="88"/>
    </row>
    <row r="17" spans="1:9" ht="66">
      <c r="A17" s="120"/>
      <c r="B17" s="119" t="s">
        <v>67</v>
      </c>
      <c r="C17" s="32" t="s">
        <v>68</v>
      </c>
      <c r="D17" s="78" t="s">
        <v>69</v>
      </c>
      <c r="E17" s="89" t="s">
        <v>70</v>
      </c>
      <c r="F17" s="86" t="s">
        <v>71</v>
      </c>
      <c r="G17" s="87" t="s">
        <v>23</v>
      </c>
      <c r="H17" s="88"/>
    </row>
    <row r="18" spans="1:9" ht="27" customHeight="1">
      <c r="A18" s="120"/>
      <c r="B18" s="120"/>
      <c r="C18" s="32" t="s">
        <v>72</v>
      </c>
      <c r="D18" s="90"/>
      <c r="E18" s="73"/>
      <c r="F18" s="73"/>
      <c r="G18" s="73"/>
      <c r="H18" s="73"/>
      <c r="I18" s="91" t="s">
        <v>73</v>
      </c>
    </row>
    <row r="19" spans="1:9" ht="27" customHeight="1">
      <c r="A19" s="120"/>
      <c r="B19" s="120"/>
      <c r="C19" s="32" t="s">
        <v>74</v>
      </c>
      <c r="D19" s="90"/>
      <c r="E19" s="73"/>
      <c r="F19" s="73"/>
      <c r="G19" s="73"/>
      <c r="H19" s="73"/>
      <c r="I19" s="91" t="s">
        <v>73</v>
      </c>
    </row>
    <row r="20" spans="1:9" ht="49.5">
      <c r="A20" s="120"/>
      <c r="B20" s="121"/>
      <c r="C20" s="32" t="s">
        <v>75</v>
      </c>
      <c r="D20" s="78" t="s">
        <v>76</v>
      </c>
      <c r="E20" s="85" t="s">
        <v>77</v>
      </c>
      <c r="F20" s="86" t="s">
        <v>78</v>
      </c>
      <c r="G20" s="87" t="s">
        <v>23</v>
      </c>
      <c r="H20" s="88"/>
    </row>
    <row r="21" spans="1:9" ht="63" customHeight="1">
      <c r="A21" s="121"/>
      <c r="B21" s="32" t="s">
        <v>79</v>
      </c>
      <c r="C21" s="32" t="s">
        <v>80</v>
      </c>
      <c r="D21" s="78" t="s">
        <v>81</v>
      </c>
      <c r="E21" s="85" t="s">
        <v>82</v>
      </c>
      <c r="F21" s="86" t="s">
        <v>83</v>
      </c>
      <c r="G21" s="87" t="s">
        <v>23</v>
      </c>
      <c r="H21" s="88"/>
    </row>
    <row r="23" spans="1:9" ht="14" customHeight="1">
      <c r="A23" s="3" t="s">
        <v>84</v>
      </c>
    </row>
    <row r="24" spans="1:9" ht="14" customHeight="1">
      <c r="A24" s="3" t="s">
        <v>85</v>
      </c>
    </row>
  </sheetData>
  <mergeCells count="4">
    <mergeCell ref="A2:A15"/>
    <mergeCell ref="A16:A21"/>
    <mergeCell ref="B2:B15"/>
    <mergeCell ref="B17:B20"/>
  </mergeCells>
  <phoneticPr fontId="1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85" zoomScaleNormal="85" workbookViewId="0">
      <selection activeCell="E11" sqref="E11"/>
    </sheetView>
  </sheetViews>
  <sheetFormatPr defaultColWidth="8.83203125" defaultRowHeight="16.5"/>
  <cols>
    <col min="1" max="1" width="9.6640625" style="114" customWidth="1"/>
    <col min="2" max="2" width="10.6640625" style="114" customWidth="1"/>
    <col min="3" max="3" width="13.83203125" style="115" customWidth="1"/>
    <col min="4" max="4" width="46.58203125" style="116" customWidth="1"/>
    <col min="5" max="5" width="47.6640625" style="117" customWidth="1"/>
    <col min="6" max="6" width="58" style="29" customWidth="1"/>
    <col min="7" max="7" width="15.83203125" style="29" customWidth="1"/>
    <col min="8" max="8" width="22.58203125" style="29" customWidth="1"/>
    <col min="9" max="16384" width="8.83203125" style="29"/>
  </cols>
  <sheetData>
    <row r="1" spans="1:9" ht="33">
      <c r="A1" s="92" t="s">
        <v>0</v>
      </c>
      <c r="B1" s="92" t="s">
        <v>1</v>
      </c>
      <c r="C1" s="92" t="s">
        <v>2</v>
      </c>
      <c r="D1" s="93" t="s">
        <v>3</v>
      </c>
      <c r="E1" s="92" t="s">
        <v>4</v>
      </c>
      <c r="F1" s="30" t="s">
        <v>5</v>
      </c>
      <c r="G1" s="30" t="s">
        <v>86</v>
      </c>
      <c r="H1" s="30" t="s">
        <v>87</v>
      </c>
    </row>
    <row r="2" spans="1:9" ht="49.5">
      <c r="A2" s="122" t="s">
        <v>8</v>
      </c>
      <c r="B2" s="122" t="s">
        <v>88</v>
      </c>
      <c r="C2" s="94" t="s">
        <v>89</v>
      </c>
      <c r="D2" s="95" t="s">
        <v>90</v>
      </c>
      <c r="E2" s="96" t="s">
        <v>91</v>
      </c>
      <c r="F2" s="36" t="s">
        <v>92</v>
      </c>
      <c r="G2" s="37" t="s">
        <v>12</v>
      </c>
      <c r="H2" s="35" t="s">
        <v>93</v>
      </c>
      <c r="I2" s="36" t="s">
        <v>94</v>
      </c>
    </row>
    <row r="3" spans="1:9" ht="33">
      <c r="A3" s="122"/>
      <c r="B3" s="122"/>
      <c r="C3" s="97" t="s">
        <v>95</v>
      </c>
      <c r="D3" s="98" t="s">
        <v>96</v>
      </c>
      <c r="E3" s="99" t="s">
        <v>102</v>
      </c>
      <c r="F3" s="40" t="s">
        <v>98</v>
      </c>
      <c r="G3" s="41" t="s">
        <v>12</v>
      </c>
      <c r="H3" s="42" t="s">
        <v>99</v>
      </c>
    </row>
    <row r="4" spans="1:9" ht="33">
      <c r="A4" s="122"/>
      <c r="B4" s="122"/>
      <c r="C4" s="97" t="s">
        <v>100</v>
      </c>
      <c r="D4" s="98" t="s">
        <v>101</v>
      </c>
      <c r="E4" s="99" t="s">
        <v>102</v>
      </c>
      <c r="F4" s="40" t="s">
        <v>98</v>
      </c>
      <c r="G4" s="41" t="s">
        <v>12</v>
      </c>
      <c r="H4" s="42" t="s">
        <v>103</v>
      </c>
    </row>
    <row r="5" spans="1:9" ht="33">
      <c r="A5" s="122"/>
      <c r="B5" s="122"/>
      <c r="C5" s="97" t="s">
        <v>104</v>
      </c>
      <c r="D5" s="98" t="s">
        <v>105</v>
      </c>
      <c r="E5" s="99" t="s">
        <v>106</v>
      </c>
      <c r="F5" s="40" t="s">
        <v>98</v>
      </c>
      <c r="G5" s="41" t="s">
        <v>12</v>
      </c>
      <c r="H5" s="42" t="s">
        <v>107</v>
      </c>
    </row>
    <row r="6" spans="1:9" s="26" customFormat="1">
      <c r="A6" s="122"/>
      <c r="B6" s="122"/>
      <c r="C6" s="100" t="s">
        <v>108</v>
      </c>
      <c r="D6" s="98" t="s">
        <v>109</v>
      </c>
      <c r="E6" s="101" t="s">
        <v>110</v>
      </c>
      <c r="F6" s="40" t="s">
        <v>98</v>
      </c>
      <c r="G6" s="41" t="s">
        <v>12</v>
      </c>
      <c r="H6" s="42" t="s">
        <v>111</v>
      </c>
    </row>
    <row r="7" spans="1:9" ht="33">
      <c r="A7" s="122"/>
      <c r="B7" s="122"/>
      <c r="C7" s="97" t="s">
        <v>112</v>
      </c>
      <c r="D7" s="99" t="s">
        <v>113</v>
      </c>
      <c r="E7" s="98" t="s">
        <v>114</v>
      </c>
      <c r="F7" s="40" t="s">
        <v>115</v>
      </c>
      <c r="G7" s="41" t="s">
        <v>23</v>
      </c>
      <c r="H7" s="41" t="s">
        <v>116</v>
      </c>
    </row>
    <row r="8" spans="1:9" ht="82.5">
      <c r="A8" s="122"/>
      <c r="B8" s="122"/>
      <c r="C8" s="100" t="s">
        <v>117</v>
      </c>
      <c r="D8" s="102" t="s">
        <v>118</v>
      </c>
      <c r="E8" s="103" t="s">
        <v>266</v>
      </c>
      <c r="F8" s="50" t="s">
        <v>267</v>
      </c>
      <c r="G8" s="49" t="s">
        <v>23</v>
      </c>
      <c r="H8" s="48"/>
    </row>
    <row r="9" spans="1:9" ht="49.5">
      <c r="A9" s="122"/>
      <c r="B9" s="122"/>
      <c r="C9" s="100" t="s">
        <v>121</v>
      </c>
      <c r="D9" s="102" t="s">
        <v>122</v>
      </c>
      <c r="E9" s="53" t="s">
        <v>268</v>
      </c>
      <c r="F9" s="104" t="s">
        <v>98</v>
      </c>
      <c r="G9" s="41" t="s">
        <v>12</v>
      </c>
      <c r="H9" s="48" t="s">
        <v>125</v>
      </c>
      <c r="I9" s="29" t="e">
        <f ca="1">_xlfn.DISPIMG("ID_DA61964C4DE949D4B7C619B77A2A9E26",1)</f>
        <v>#NAME?</v>
      </c>
    </row>
    <row r="10" spans="1:9" ht="66">
      <c r="A10" s="122"/>
      <c r="B10" s="122"/>
      <c r="C10" s="100" t="s">
        <v>126</v>
      </c>
      <c r="D10" s="102" t="s">
        <v>269</v>
      </c>
      <c r="E10" s="53" t="s">
        <v>270</v>
      </c>
      <c r="F10" s="50" t="s">
        <v>271</v>
      </c>
      <c r="G10" s="41" t="s">
        <v>12</v>
      </c>
      <c r="H10" s="42" t="s">
        <v>130</v>
      </c>
      <c r="I10" s="105" t="s">
        <v>272</v>
      </c>
    </row>
    <row r="11" spans="1:9" ht="99">
      <c r="A11" s="122"/>
      <c r="B11" s="122"/>
      <c r="C11" s="106" t="s">
        <v>131</v>
      </c>
      <c r="D11" s="53" t="s">
        <v>132</v>
      </c>
      <c r="E11" s="107" t="s">
        <v>273</v>
      </c>
      <c r="F11" s="53" t="s">
        <v>134</v>
      </c>
      <c r="G11" s="41" t="s">
        <v>12</v>
      </c>
      <c r="H11" s="42" t="s">
        <v>135</v>
      </c>
    </row>
    <row r="12" spans="1:9" ht="66">
      <c r="A12" s="122"/>
      <c r="B12" s="122"/>
      <c r="C12" s="106" t="s">
        <v>274</v>
      </c>
      <c r="D12" s="102" t="s">
        <v>137</v>
      </c>
      <c r="E12" s="53" t="s">
        <v>275</v>
      </c>
      <c r="F12" s="48" t="s">
        <v>139</v>
      </c>
      <c r="G12" s="41" t="s">
        <v>12</v>
      </c>
      <c r="H12" s="42" t="s">
        <v>140</v>
      </c>
    </row>
    <row r="13" spans="1:9" ht="33">
      <c r="A13" s="122"/>
      <c r="B13" s="122"/>
      <c r="C13" s="100" t="s">
        <v>141</v>
      </c>
      <c r="D13" s="98" t="s">
        <v>276</v>
      </c>
      <c r="E13" s="99" t="s">
        <v>277</v>
      </c>
      <c r="F13" s="40" t="s">
        <v>98</v>
      </c>
      <c r="G13" s="41" t="s">
        <v>23</v>
      </c>
      <c r="H13" s="42" t="s">
        <v>144</v>
      </c>
    </row>
    <row r="14" spans="1:9">
      <c r="A14" s="122"/>
      <c r="B14" s="122"/>
      <c r="C14" s="97" t="s">
        <v>145</v>
      </c>
      <c r="D14" s="98" t="s">
        <v>278</v>
      </c>
      <c r="E14" s="98" t="s">
        <v>279</v>
      </c>
      <c r="F14" s="43" t="s">
        <v>148</v>
      </c>
      <c r="G14" s="41" t="s">
        <v>23</v>
      </c>
      <c r="H14" s="41" t="s">
        <v>116</v>
      </c>
    </row>
    <row r="15" spans="1:9" ht="49.5">
      <c r="A15" s="122"/>
      <c r="B15" s="122"/>
      <c r="C15" s="97" t="s">
        <v>149</v>
      </c>
      <c r="D15" s="102" t="s">
        <v>280</v>
      </c>
      <c r="E15" s="53" t="s">
        <v>281</v>
      </c>
      <c r="F15" s="50" t="s">
        <v>152</v>
      </c>
      <c r="G15" s="49" t="s">
        <v>23</v>
      </c>
      <c r="H15" s="48"/>
    </row>
    <row r="16" spans="1:9" ht="49.5">
      <c r="A16" s="122"/>
      <c r="B16" s="122"/>
      <c r="C16" s="97" t="s">
        <v>153</v>
      </c>
      <c r="D16" s="102" t="s">
        <v>282</v>
      </c>
      <c r="E16" s="53" t="s">
        <v>283</v>
      </c>
      <c r="F16" s="57" t="s">
        <v>156</v>
      </c>
      <c r="G16" s="49" t="s">
        <v>23</v>
      </c>
      <c r="H16" s="48"/>
      <c r="I16" s="105" t="s">
        <v>284</v>
      </c>
    </row>
    <row r="17" spans="1:14" ht="66">
      <c r="A17" s="122"/>
      <c r="B17" s="122"/>
      <c r="C17" s="108" t="s">
        <v>285</v>
      </c>
      <c r="D17" s="102" t="s">
        <v>286</v>
      </c>
      <c r="E17" s="53" t="s">
        <v>287</v>
      </c>
      <c r="F17" s="50" t="s">
        <v>160</v>
      </c>
      <c r="G17" s="49" t="s">
        <v>23</v>
      </c>
      <c r="H17" s="48"/>
    </row>
    <row r="18" spans="1:14" ht="66">
      <c r="A18" s="122"/>
      <c r="B18" s="122"/>
      <c r="C18" s="109" t="s">
        <v>161</v>
      </c>
      <c r="D18" s="102" t="s">
        <v>158</v>
      </c>
      <c r="E18" s="53" t="s">
        <v>288</v>
      </c>
      <c r="F18" s="50" t="s">
        <v>289</v>
      </c>
      <c r="G18" s="49" t="s">
        <v>23</v>
      </c>
      <c r="H18" s="48"/>
    </row>
    <row r="19" spans="1:14">
      <c r="A19" s="122"/>
      <c r="B19" s="122"/>
      <c r="C19" s="108" t="s">
        <v>290</v>
      </c>
      <c r="D19" s="110" t="s">
        <v>291</v>
      </c>
      <c r="E19" s="103" t="s">
        <v>292</v>
      </c>
      <c r="F19" s="104" t="s">
        <v>98</v>
      </c>
      <c r="G19" s="58" t="s">
        <v>23</v>
      </c>
      <c r="H19" s="48"/>
    </row>
    <row r="20" spans="1:14" ht="49.5">
      <c r="A20" s="122"/>
      <c r="B20" s="122"/>
      <c r="C20" s="97" t="s">
        <v>164</v>
      </c>
      <c r="D20" s="102" t="s">
        <v>165</v>
      </c>
      <c r="E20" s="103" t="s">
        <v>293</v>
      </c>
      <c r="F20" s="108" t="s">
        <v>116</v>
      </c>
      <c r="G20" s="49" t="s">
        <v>12</v>
      </c>
      <c r="H20" s="49" t="s">
        <v>168</v>
      </c>
      <c r="I20" s="105" t="s">
        <v>294</v>
      </c>
    </row>
    <row r="21" spans="1:14" ht="42">
      <c r="A21" s="122"/>
      <c r="B21" s="122"/>
      <c r="C21" s="97" t="s">
        <v>174</v>
      </c>
      <c r="D21" s="111" t="s">
        <v>175</v>
      </c>
      <c r="E21" s="112" t="s">
        <v>116</v>
      </c>
      <c r="F21" s="63" t="s">
        <v>116</v>
      </c>
      <c r="G21" s="63" t="s">
        <v>116</v>
      </c>
      <c r="H21" s="49"/>
      <c r="I21" s="105" t="s">
        <v>295</v>
      </c>
    </row>
    <row r="22" spans="1:14" ht="42">
      <c r="A22" s="122"/>
      <c r="B22" s="122"/>
      <c r="C22" s="97" t="s">
        <v>177</v>
      </c>
      <c r="D22" s="111" t="s">
        <v>178</v>
      </c>
      <c r="E22" s="111" t="s">
        <v>296</v>
      </c>
      <c r="F22" s="64" t="s">
        <v>180</v>
      </c>
      <c r="G22" s="64" t="s">
        <v>23</v>
      </c>
      <c r="H22" s="48"/>
      <c r="I22" s="105" t="s">
        <v>297</v>
      </c>
    </row>
    <row r="23" spans="1:14" ht="56">
      <c r="A23" s="123" t="s">
        <v>181</v>
      </c>
      <c r="B23" s="97" t="s">
        <v>62</v>
      </c>
      <c r="C23" s="97" t="s">
        <v>63</v>
      </c>
      <c r="D23" s="111" t="s">
        <v>182</v>
      </c>
      <c r="E23" s="111" t="s">
        <v>183</v>
      </c>
      <c r="F23" s="63" t="s">
        <v>116</v>
      </c>
      <c r="G23" s="49" t="s">
        <v>23</v>
      </c>
      <c r="H23" s="63"/>
      <c r="I23" s="66"/>
      <c r="J23" s="66"/>
      <c r="K23" s="66"/>
      <c r="L23" s="66"/>
      <c r="M23" s="66"/>
      <c r="N23" s="66"/>
    </row>
    <row r="24" spans="1:14" ht="33">
      <c r="A24" s="124"/>
      <c r="B24" s="124"/>
      <c r="C24" s="97" t="s">
        <v>72</v>
      </c>
      <c r="D24" s="99" t="s">
        <v>184</v>
      </c>
      <c r="E24" s="98" t="s">
        <v>185</v>
      </c>
      <c r="F24" s="41" t="s">
        <v>116</v>
      </c>
      <c r="G24" s="41" t="s">
        <v>23</v>
      </c>
      <c r="H24" s="41" t="s">
        <v>116</v>
      </c>
    </row>
    <row r="25" spans="1:14" ht="42">
      <c r="A25" s="124"/>
      <c r="B25" s="124"/>
      <c r="C25" s="97" t="s">
        <v>74</v>
      </c>
      <c r="D25" s="111" t="s">
        <v>186</v>
      </c>
      <c r="E25" s="113" t="s">
        <v>298</v>
      </c>
      <c r="F25" s="63" t="s">
        <v>116</v>
      </c>
      <c r="G25" s="63" t="s">
        <v>23</v>
      </c>
      <c r="H25" s="49"/>
    </row>
    <row r="26" spans="1:14">
      <c r="A26" s="124"/>
      <c r="B26" s="125"/>
      <c r="C26" s="97" t="s">
        <v>75</v>
      </c>
      <c r="D26" s="112" t="s">
        <v>116</v>
      </c>
      <c r="E26" s="112" t="s">
        <v>116</v>
      </c>
      <c r="F26" s="63" t="s">
        <v>116</v>
      </c>
      <c r="G26" s="63" t="s">
        <v>116</v>
      </c>
      <c r="H26" s="49" t="s">
        <v>187</v>
      </c>
    </row>
    <row r="27" spans="1:14" ht="42">
      <c r="A27" s="125"/>
      <c r="B27" s="58" t="s">
        <v>79</v>
      </c>
      <c r="C27" s="58" t="s">
        <v>80</v>
      </c>
      <c r="D27" s="113" t="s">
        <v>188</v>
      </c>
      <c r="E27" s="113" t="s">
        <v>183</v>
      </c>
      <c r="F27" s="65" t="s">
        <v>116</v>
      </c>
      <c r="G27" s="65" t="s">
        <v>23</v>
      </c>
      <c r="H27" s="58"/>
      <c r="I27" s="105" t="s">
        <v>299</v>
      </c>
    </row>
  </sheetData>
  <mergeCells count="4">
    <mergeCell ref="A2:A22"/>
    <mergeCell ref="B2:B22"/>
    <mergeCell ref="A23:A27"/>
    <mergeCell ref="B24:B26"/>
  </mergeCells>
  <phoneticPr fontId="19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C1" workbookViewId="0">
      <selection activeCell="D33" sqref="D33"/>
    </sheetView>
  </sheetViews>
  <sheetFormatPr defaultColWidth="8.83203125" defaultRowHeight="16.5"/>
  <cols>
    <col min="1" max="1" width="9.6640625" style="3" customWidth="1"/>
    <col min="2" max="2" width="10.6640625" style="3" customWidth="1"/>
    <col min="3" max="3" width="13.83203125" style="27" customWidth="1"/>
    <col min="4" max="4" width="52.4140625" style="28" customWidth="1"/>
    <col min="5" max="5" width="76.33203125" style="29" customWidth="1"/>
    <col min="6" max="6" width="30.4140625" style="29" customWidth="1"/>
    <col min="7" max="7" width="15.83203125" style="29" customWidth="1"/>
    <col min="8" max="8" width="22.58203125" style="29" customWidth="1"/>
    <col min="9" max="16384" width="8.83203125" style="29"/>
  </cols>
  <sheetData>
    <row r="1" spans="1:9" ht="33">
      <c r="A1" s="30" t="s">
        <v>0</v>
      </c>
      <c r="B1" s="30" t="s">
        <v>1</v>
      </c>
      <c r="C1" s="30" t="s">
        <v>2</v>
      </c>
      <c r="D1" s="31" t="s">
        <v>3</v>
      </c>
      <c r="E1" s="30" t="s">
        <v>4</v>
      </c>
      <c r="F1" s="30" t="s">
        <v>5</v>
      </c>
      <c r="G1" s="30" t="s">
        <v>86</v>
      </c>
      <c r="H1" s="30" t="s">
        <v>87</v>
      </c>
    </row>
    <row r="2" spans="1:9" ht="49.5">
      <c r="A2" s="118" t="s">
        <v>8</v>
      </c>
      <c r="B2" s="118" t="s">
        <v>88</v>
      </c>
      <c r="C2" s="33" t="s">
        <v>89</v>
      </c>
      <c r="D2" s="34" t="s">
        <v>90</v>
      </c>
      <c r="E2" s="35" t="s">
        <v>91</v>
      </c>
      <c r="F2" s="36" t="s">
        <v>92</v>
      </c>
      <c r="G2" s="37" t="s">
        <v>12</v>
      </c>
      <c r="H2" s="35" t="s">
        <v>93</v>
      </c>
      <c r="I2" s="36" t="s">
        <v>94</v>
      </c>
    </row>
    <row r="3" spans="1:9">
      <c r="A3" s="118"/>
      <c r="B3" s="118"/>
      <c r="C3" s="32" t="s">
        <v>95</v>
      </c>
      <c r="D3" s="38" t="s">
        <v>96</v>
      </c>
      <c r="E3" s="39" t="s">
        <v>97</v>
      </c>
      <c r="F3" s="40" t="s">
        <v>98</v>
      </c>
      <c r="G3" s="41" t="s">
        <v>12</v>
      </c>
      <c r="H3" s="42" t="s">
        <v>99</v>
      </c>
    </row>
    <row r="4" spans="1:9">
      <c r="A4" s="118"/>
      <c r="B4" s="118"/>
      <c r="C4" s="32" t="s">
        <v>100</v>
      </c>
      <c r="D4" s="38" t="s">
        <v>101</v>
      </c>
      <c r="E4" s="39" t="s">
        <v>102</v>
      </c>
      <c r="F4" s="40" t="s">
        <v>98</v>
      </c>
      <c r="G4" s="41" t="s">
        <v>12</v>
      </c>
      <c r="H4" s="42" t="s">
        <v>103</v>
      </c>
    </row>
    <row r="5" spans="1:9">
      <c r="A5" s="118"/>
      <c r="B5" s="118"/>
      <c r="C5" s="32" t="s">
        <v>104</v>
      </c>
      <c r="D5" s="38" t="s">
        <v>105</v>
      </c>
      <c r="E5" s="43" t="s">
        <v>106</v>
      </c>
      <c r="F5" s="40" t="s">
        <v>98</v>
      </c>
      <c r="G5" s="41" t="s">
        <v>12</v>
      </c>
      <c r="H5" s="42" t="s">
        <v>107</v>
      </c>
    </row>
    <row r="6" spans="1:9" s="26" customFormat="1">
      <c r="A6" s="118"/>
      <c r="B6" s="118"/>
      <c r="C6" s="44" t="s">
        <v>108</v>
      </c>
      <c r="D6" s="38" t="s">
        <v>109</v>
      </c>
      <c r="E6" s="45" t="s">
        <v>110</v>
      </c>
      <c r="F6" s="40" t="s">
        <v>98</v>
      </c>
      <c r="G6" s="41" t="s">
        <v>12</v>
      </c>
      <c r="H6" s="42" t="s">
        <v>111</v>
      </c>
    </row>
    <row r="7" spans="1:9" ht="33">
      <c r="A7" s="118"/>
      <c r="B7" s="118"/>
      <c r="C7" s="32" t="s">
        <v>112</v>
      </c>
      <c r="D7" s="46" t="s">
        <v>113</v>
      </c>
      <c r="E7" s="40" t="s">
        <v>114</v>
      </c>
      <c r="F7" s="40" t="s">
        <v>115</v>
      </c>
      <c r="G7" s="41" t="s">
        <v>23</v>
      </c>
      <c r="H7" s="41" t="s">
        <v>116</v>
      </c>
    </row>
    <row r="8" spans="1:9" ht="49.5">
      <c r="A8" s="118"/>
      <c r="B8" s="118"/>
      <c r="C8" s="44" t="s">
        <v>117</v>
      </c>
      <c r="D8" s="47" t="s">
        <v>118</v>
      </c>
      <c r="E8" s="48" t="s">
        <v>119</v>
      </c>
      <c r="F8" s="48" t="s">
        <v>120</v>
      </c>
      <c r="G8" s="49" t="s">
        <v>23</v>
      </c>
      <c r="H8" s="48"/>
    </row>
    <row r="9" spans="1:9" ht="49.5">
      <c r="A9" s="118"/>
      <c r="B9" s="118"/>
      <c r="C9" s="44" t="s">
        <v>121</v>
      </c>
      <c r="D9" s="47" t="s">
        <v>122</v>
      </c>
      <c r="E9" s="50" t="s">
        <v>123</v>
      </c>
      <c r="F9" s="50" t="s">
        <v>124</v>
      </c>
      <c r="G9" s="41" t="s">
        <v>12</v>
      </c>
      <c r="H9" s="48" t="s">
        <v>125</v>
      </c>
    </row>
    <row r="10" spans="1:9" ht="66">
      <c r="A10" s="118"/>
      <c r="B10" s="118"/>
      <c r="C10" s="44" t="s">
        <v>126</v>
      </c>
      <c r="D10" s="47" t="s">
        <v>127</v>
      </c>
      <c r="E10" s="51" t="s">
        <v>128</v>
      </c>
      <c r="F10" s="50" t="s">
        <v>129</v>
      </c>
      <c r="G10" s="41" t="s">
        <v>12</v>
      </c>
      <c r="H10" s="42" t="s">
        <v>130</v>
      </c>
    </row>
    <row r="11" spans="1:9" ht="165">
      <c r="A11" s="118"/>
      <c r="B11" s="118"/>
      <c r="C11" s="52" t="s">
        <v>131</v>
      </c>
      <c r="D11" s="53" t="s">
        <v>132</v>
      </c>
      <c r="E11" s="54" t="s">
        <v>133</v>
      </c>
      <c r="F11" s="53" t="s">
        <v>134</v>
      </c>
      <c r="G11" s="41" t="s">
        <v>12</v>
      </c>
      <c r="H11" s="42" t="s">
        <v>135</v>
      </c>
    </row>
    <row r="12" spans="1:9" ht="66">
      <c r="A12" s="118"/>
      <c r="B12" s="118"/>
      <c r="C12" s="52" t="s">
        <v>136</v>
      </c>
      <c r="D12" s="47" t="s">
        <v>137</v>
      </c>
      <c r="E12" s="50" t="s">
        <v>138</v>
      </c>
      <c r="F12" s="48" t="s">
        <v>139</v>
      </c>
      <c r="G12" s="41" t="s">
        <v>12</v>
      </c>
      <c r="H12" s="42" t="s">
        <v>140</v>
      </c>
    </row>
    <row r="13" spans="1:9" ht="28" customHeight="1">
      <c r="A13" s="118"/>
      <c r="B13" s="118"/>
      <c r="C13" s="44" t="s">
        <v>141</v>
      </c>
      <c r="D13" s="38" t="s">
        <v>142</v>
      </c>
      <c r="E13" s="55" t="s">
        <v>143</v>
      </c>
      <c r="F13" s="40" t="s">
        <v>98</v>
      </c>
      <c r="G13" s="41" t="s">
        <v>23</v>
      </c>
      <c r="H13" s="42" t="s">
        <v>144</v>
      </c>
    </row>
    <row r="14" spans="1:9" ht="33">
      <c r="A14" s="118"/>
      <c r="B14" s="118"/>
      <c r="C14" s="32" t="s">
        <v>145</v>
      </c>
      <c r="D14" s="38" t="s">
        <v>146</v>
      </c>
      <c r="E14" s="40" t="s">
        <v>147</v>
      </c>
      <c r="F14" s="43" t="s">
        <v>148</v>
      </c>
      <c r="G14" s="41" t="s">
        <v>23</v>
      </c>
      <c r="H14" s="41" t="s">
        <v>116</v>
      </c>
    </row>
    <row r="15" spans="1:9" ht="49.5">
      <c r="A15" s="118"/>
      <c r="B15" s="118"/>
      <c r="C15" s="32" t="s">
        <v>149</v>
      </c>
      <c r="D15" s="47" t="s">
        <v>150</v>
      </c>
      <c r="E15" s="56" t="s">
        <v>151</v>
      </c>
      <c r="F15" s="50" t="s">
        <v>152</v>
      </c>
      <c r="G15" s="49" t="s">
        <v>23</v>
      </c>
      <c r="H15" s="48"/>
    </row>
    <row r="16" spans="1:9" ht="82.5">
      <c r="A16" s="118"/>
      <c r="B16" s="118"/>
      <c r="C16" s="32" t="s">
        <v>153</v>
      </c>
      <c r="D16" s="47" t="s">
        <v>154</v>
      </c>
      <c r="E16" s="56" t="s">
        <v>155</v>
      </c>
      <c r="F16" s="57" t="s">
        <v>156</v>
      </c>
      <c r="G16" s="49" t="s">
        <v>23</v>
      </c>
      <c r="H16" s="48"/>
    </row>
    <row r="17" spans="1:14" ht="66">
      <c r="A17" s="118"/>
      <c r="B17" s="118"/>
      <c r="C17" s="19" t="s">
        <v>157</v>
      </c>
      <c r="D17" s="47" t="s">
        <v>158</v>
      </c>
      <c r="E17" s="50" t="s">
        <v>159</v>
      </c>
      <c r="F17" s="50" t="s">
        <v>160</v>
      </c>
      <c r="G17" s="49" t="s">
        <v>23</v>
      </c>
      <c r="H17" s="48"/>
    </row>
    <row r="18" spans="1:14" ht="66">
      <c r="A18" s="118"/>
      <c r="B18" s="118"/>
      <c r="C18" s="19" t="s">
        <v>161</v>
      </c>
      <c r="D18" s="47" t="s">
        <v>158</v>
      </c>
      <c r="E18" s="50" t="s">
        <v>162</v>
      </c>
      <c r="F18" s="50" t="s">
        <v>163</v>
      </c>
      <c r="G18" s="49" t="s">
        <v>23</v>
      </c>
      <c r="H18" s="48"/>
    </row>
    <row r="19" spans="1:14" ht="49.5">
      <c r="A19" s="118"/>
      <c r="B19" s="118"/>
      <c r="C19" s="32" t="s">
        <v>164</v>
      </c>
      <c r="D19" s="47" t="s">
        <v>165</v>
      </c>
      <c r="E19" s="56" t="s">
        <v>166</v>
      </c>
      <c r="F19" s="50" t="s">
        <v>167</v>
      </c>
      <c r="G19" s="49" t="s">
        <v>12</v>
      </c>
      <c r="H19" s="49" t="s">
        <v>168</v>
      </c>
    </row>
    <row r="20" spans="1:14">
      <c r="A20" s="118"/>
      <c r="B20" s="118"/>
      <c r="C20" s="58" t="s">
        <v>169</v>
      </c>
      <c r="D20" s="126" t="s">
        <v>170</v>
      </c>
      <c r="E20" s="48" t="s">
        <v>171</v>
      </c>
      <c r="F20" s="48"/>
      <c r="G20" s="48"/>
      <c r="H20" s="48"/>
    </row>
    <row r="21" spans="1:14">
      <c r="A21" s="118"/>
      <c r="B21" s="118"/>
      <c r="C21" s="59" t="s">
        <v>172</v>
      </c>
      <c r="D21" s="127"/>
      <c r="E21" s="48"/>
      <c r="F21" s="48"/>
      <c r="G21" s="48"/>
      <c r="H21" s="48"/>
    </row>
    <row r="22" spans="1:14">
      <c r="A22" s="118"/>
      <c r="B22" s="118"/>
      <c r="C22" s="59" t="s">
        <v>173</v>
      </c>
      <c r="D22" s="128"/>
      <c r="E22" s="48"/>
      <c r="F22" s="48"/>
      <c r="G22" s="48"/>
      <c r="H22" s="48"/>
    </row>
    <row r="23" spans="1:14" ht="42">
      <c r="A23" s="118"/>
      <c r="B23" s="118"/>
      <c r="C23" s="60" t="s">
        <v>174</v>
      </c>
      <c r="D23" s="61" t="s">
        <v>175</v>
      </c>
      <c r="E23" s="62" t="s">
        <v>176</v>
      </c>
      <c r="F23" s="63" t="s">
        <v>116</v>
      </c>
      <c r="G23" s="63" t="s">
        <v>116</v>
      </c>
      <c r="H23" s="49"/>
    </row>
    <row r="24" spans="1:14" ht="28">
      <c r="A24" s="118"/>
      <c r="B24" s="118"/>
      <c r="C24" s="32" t="s">
        <v>177</v>
      </c>
      <c r="D24" s="64" t="s">
        <v>178</v>
      </c>
      <c r="E24" s="61" t="s">
        <v>179</v>
      </c>
      <c r="F24" s="64" t="s">
        <v>180</v>
      </c>
      <c r="G24" s="64" t="s">
        <v>23</v>
      </c>
      <c r="H24" s="48"/>
    </row>
    <row r="25" spans="1:14" ht="42">
      <c r="A25" s="119" t="s">
        <v>181</v>
      </c>
      <c r="B25" s="32" t="s">
        <v>62</v>
      </c>
      <c r="C25" s="32" t="s">
        <v>63</v>
      </c>
      <c r="D25" s="64" t="s">
        <v>182</v>
      </c>
      <c r="E25" s="64" t="s">
        <v>183</v>
      </c>
      <c r="F25" s="63" t="s">
        <v>116</v>
      </c>
      <c r="G25" s="49" t="s">
        <v>23</v>
      </c>
      <c r="H25" s="63"/>
      <c r="I25" s="66"/>
      <c r="J25" s="66"/>
      <c r="K25" s="66"/>
      <c r="L25" s="66"/>
      <c r="M25" s="66"/>
      <c r="N25" s="66"/>
    </row>
    <row r="26" spans="1:14">
      <c r="A26" s="120"/>
      <c r="B26" s="120"/>
      <c r="C26" s="32" t="s">
        <v>72</v>
      </c>
      <c r="D26" s="46" t="s">
        <v>184</v>
      </c>
      <c r="E26" s="40" t="s">
        <v>185</v>
      </c>
      <c r="F26" s="41" t="s">
        <v>116</v>
      </c>
      <c r="G26" s="41" t="s">
        <v>23</v>
      </c>
      <c r="H26" s="41" t="s">
        <v>116</v>
      </c>
    </row>
    <row r="27" spans="1:14" ht="28">
      <c r="A27" s="120"/>
      <c r="B27" s="120"/>
      <c r="C27" s="32" t="s">
        <v>74</v>
      </c>
      <c r="D27" s="64" t="s">
        <v>186</v>
      </c>
      <c r="E27" s="64" t="s">
        <v>183</v>
      </c>
      <c r="F27" s="63" t="s">
        <v>116</v>
      </c>
      <c r="G27" s="63" t="s">
        <v>23</v>
      </c>
      <c r="H27" s="49"/>
    </row>
    <row r="28" spans="1:14">
      <c r="A28" s="120"/>
      <c r="B28" s="121"/>
      <c r="C28" s="32" t="s">
        <v>75</v>
      </c>
      <c r="D28" s="65" t="s">
        <v>116</v>
      </c>
      <c r="E28" s="63" t="s">
        <v>116</v>
      </c>
      <c r="F28" s="63" t="s">
        <v>116</v>
      </c>
      <c r="G28" s="63" t="s">
        <v>116</v>
      </c>
      <c r="H28" s="49" t="s">
        <v>187</v>
      </c>
    </row>
    <row r="29" spans="1:14" ht="28">
      <c r="A29" s="121"/>
      <c r="B29" s="32" t="s">
        <v>79</v>
      </c>
      <c r="C29" s="32" t="s">
        <v>80</v>
      </c>
      <c r="D29" s="64" t="s">
        <v>188</v>
      </c>
      <c r="E29" s="64" t="s">
        <v>183</v>
      </c>
      <c r="F29" s="63" t="s">
        <v>116</v>
      </c>
      <c r="G29" s="63" t="s">
        <v>23</v>
      </c>
      <c r="H29" s="49"/>
    </row>
  </sheetData>
  <mergeCells count="5">
    <mergeCell ref="A2:A24"/>
    <mergeCell ref="A25:A29"/>
    <mergeCell ref="B2:B24"/>
    <mergeCell ref="B26:B28"/>
    <mergeCell ref="D20:D22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workbookViewId="0">
      <selection activeCell="B12" sqref="A12:XFD13"/>
    </sheetView>
  </sheetViews>
  <sheetFormatPr defaultColWidth="8.83203125" defaultRowHeight="16.5"/>
  <cols>
    <col min="1" max="1" width="9.58203125" style="3" customWidth="1"/>
    <col min="2" max="2" width="10.58203125" style="3" customWidth="1"/>
    <col min="3" max="3" width="13.83203125" style="5" customWidth="1"/>
    <col min="4" max="4" width="49.25" style="5" customWidth="1"/>
    <col min="5" max="5" width="29.83203125" style="6" customWidth="1"/>
    <col min="6" max="6" width="33.1640625" style="6" customWidth="1"/>
    <col min="7" max="7" width="15.83203125" style="6" customWidth="1"/>
    <col min="8" max="8" width="22.58203125" style="6" customWidth="1"/>
    <col min="9" max="40" width="8.83203125" style="6"/>
  </cols>
  <sheetData>
    <row r="1" spans="1:40" ht="3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86</v>
      </c>
      <c r="H1" s="7" t="s">
        <v>87</v>
      </c>
    </row>
    <row r="2" spans="1:40" ht="66">
      <c r="A2" s="129" t="s">
        <v>8</v>
      </c>
      <c r="B2" s="133" t="s">
        <v>189</v>
      </c>
      <c r="C2" s="10" t="s">
        <v>89</v>
      </c>
      <c r="D2" s="11" t="s">
        <v>90</v>
      </c>
      <c r="E2" s="11" t="s">
        <v>91</v>
      </c>
      <c r="F2" s="12" t="s">
        <v>92</v>
      </c>
      <c r="G2" s="10" t="s">
        <v>12</v>
      </c>
      <c r="H2" s="11" t="s">
        <v>93</v>
      </c>
      <c r="I2" s="12" t="s">
        <v>94</v>
      </c>
    </row>
    <row r="3" spans="1:40">
      <c r="A3" s="129"/>
      <c r="B3" s="134"/>
      <c r="C3" s="8" t="s">
        <v>190</v>
      </c>
      <c r="D3" s="13" t="s">
        <v>191</v>
      </c>
      <c r="E3" s="9" t="s">
        <v>57</v>
      </c>
      <c r="F3" s="14" t="s">
        <v>192</v>
      </c>
      <c r="G3" s="14" t="s">
        <v>193</v>
      </c>
      <c r="H3" s="14"/>
    </row>
    <row r="4" spans="1:40" ht="33">
      <c r="A4" s="129"/>
      <c r="B4" s="134"/>
      <c r="C4" s="8" t="s">
        <v>194</v>
      </c>
      <c r="D4" s="15" t="s">
        <v>195</v>
      </c>
      <c r="E4" s="136" t="s">
        <v>196</v>
      </c>
      <c r="F4" s="14" t="s">
        <v>192</v>
      </c>
      <c r="G4" s="14" t="s">
        <v>193</v>
      </c>
      <c r="H4" s="14"/>
    </row>
    <row r="5" spans="1:40" ht="33">
      <c r="A5" s="129"/>
      <c r="B5" s="134"/>
      <c r="C5" s="8" t="s">
        <v>197</v>
      </c>
      <c r="D5" s="15" t="s">
        <v>198</v>
      </c>
      <c r="E5" s="137"/>
      <c r="F5" s="14" t="s">
        <v>192</v>
      </c>
      <c r="G5" s="14" t="s">
        <v>193</v>
      </c>
      <c r="H5" s="14"/>
    </row>
    <row r="6" spans="1:40" s="3" customFormat="1" ht="33">
      <c r="A6" s="129"/>
      <c r="B6" s="134"/>
      <c r="C6" s="8" t="s">
        <v>199</v>
      </c>
      <c r="D6" s="15" t="s">
        <v>200</v>
      </c>
      <c r="E6" s="16" t="s">
        <v>57</v>
      </c>
      <c r="F6" s="14" t="s">
        <v>192</v>
      </c>
      <c r="G6" s="14" t="s">
        <v>193</v>
      </c>
      <c r="H6" s="17"/>
    </row>
    <row r="7" spans="1:40" ht="33">
      <c r="A7" s="129"/>
      <c r="B7" s="134"/>
      <c r="C7" s="8" t="s">
        <v>201</v>
      </c>
      <c r="D7" s="15" t="s">
        <v>202</v>
      </c>
      <c r="E7" s="16" t="s">
        <v>57</v>
      </c>
      <c r="F7" s="14" t="s">
        <v>192</v>
      </c>
      <c r="G7" s="14" t="s">
        <v>193</v>
      </c>
      <c r="H7" s="14"/>
    </row>
    <row r="8" spans="1:40" ht="33">
      <c r="A8" s="129"/>
      <c r="B8" s="134"/>
      <c r="C8" s="8" t="s">
        <v>203</v>
      </c>
      <c r="D8" s="18" t="s">
        <v>204</v>
      </c>
      <c r="E8" s="19" t="s">
        <v>205</v>
      </c>
      <c r="F8" s="14" t="s">
        <v>192</v>
      </c>
      <c r="G8" s="14" t="s">
        <v>193</v>
      </c>
      <c r="H8" s="14"/>
    </row>
    <row r="9" spans="1:40" ht="33">
      <c r="A9" s="129"/>
      <c r="B9" s="134"/>
      <c r="C9" s="8" t="s">
        <v>206</v>
      </c>
      <c r="D9" s="14" t="s">
        <v>207</v>
      </c>
      <c r="E9" s="20" t="s">
        <v>208</v>
      </c>
      <c r="F9" s="14" t="s">
        <v>209</v>
      </c>
      <c r="G9" s="14" t="s">
        <v>23</v>
      </c>
      <c r="H9" s="14"/>
    </row>
    <row r="10" spans="1:40" s="4" customFormat="1" ht="33">
      <c r="A10" s="130"/>
      <c r="B10" s="135"/>
      <c r="C10" s="21" t="s">
        <v>210</v>
      </c>
      <c r="D10" s="22" t="s">
        <v>211</v>
      </c>
      <c r="E10" s="22" t="s">
        <v>212</v>
      </c>
      <c r="F10" s="22" t="s">
        <v>209</v>
      </c>
      <c r="G10" s="22" t="s">
        <v>23</v>
      </c>
      <c r="H10" s="22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</row>
    <row r="11" spans="1:40" s="4" customFormat="1">
      <c r="A11" s="130"/>
      <c r="B11" s="22" t="s">
        <v>213</v>
      </c>
      <c r="C11" s="21" t="s">
        <v>214</v>
      </c>
      <c r="D11" s="22" t="s">
        <v>215</v>
      </c>
      <c r="E11" s="22" t="s">
        <v>216</v>
      </c>
      <c r="F11" s="22"/>
      <c r="G11" s="22" t="s">
        <v>23</v>
      </c>
      <c r="H11" s="2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3">
      <c r="A12" s="131" t="s">
        <v>181</v>
      </c>
      <c r="B12" s="23" t="s">
        <v>62</v>
      </c>
      <c r="C12" s="23" t="s">
        <v>63</v>
      </c>
      <c r="D12" s="13" t="s">
        <v>217</v>
      </c>
      <c r="E12" s="13" t="s">
        <v>218</v>
      </c>
      <c r="F12" s="14"/>
      <c r="G12" s="14" t="s">
        <v>23</v>
      </c>
      <c r="H12" s="14"/>
    </row>
    <row r="13" spans="1:40" ht="33">
      <c r="A13" s="132"/>
      <c r="B13" s="23" t="s">
        <v>79</v>
      </c>
      <c r="C13" s="23" t="s">
        <v>80</v>
      </c>
      <c r="D13" s="13" t="s">
        <v>219</v>
      </c>
      <c r="E13" s="13" t="s">
        <v>218</v>
      </c>
      <c r="F13" s="24"/>
      <c r="G13" s="14" t="s">
        <v>23</v>
      </c>
      <c r="H13" s="24"/>
    </row>
  </sheetData>
  <mergeCells count="4">
    <mergeCell ref="A2:A11"/>
    <mergeCell ref="A12:A13"/>
    <mergeCell ref="B2:B10"/>
    <mergeCell ref="E4:E5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"/>
  <sheetViews>
    <sheetView workbookViewId="0">
      <selection activeCell="G15" sqref="G15"/>
    </sheetView>
  </sheetViews>
  <sheetFormatPr defaultColWidth="9" defaultRowHeight="15"/>
  <cols>
    <col min="1" max="1" width="2.6640625" customWidth="1"/>
  </cols>
  <sheetData>
    <row r="2" spans="2:30">
      <c r="B2" s="138" t="s">
        <v>220</v>
      </c>
      <c r="C2" s="138"/>
      <c r="D2" s="138"/>
      <c r="E2" s="138"/>
      <c r="F2" s="138"/>
      <c r="G2" s="138" t="s">
        <v>221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 t="s">
        <v>222</v>
      </c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 t="s">
        <v>223</v>
      </c>
      <c r="AD2" s="138" t="s">
        <v>224</v>
      </c>
    </row>
    <row r="3" spans="2:30" ht="27">
      <c r="B3" s="1" t="s">
        <v>225</v>
      </c>
      <c r="C3" s="1" t="s">
        <v>226</v>
      </c>
      <c r="D3" s="1" t="s">
        <v>227</v>
      </c>
      <c r="E3" s="1" t="s">
        <v>228</v>
      </c>
      <c r="F3" s="1" t="s">
        <v>229</v>
      </c>
      <c r="G3" s="1" t="s">
        <v>230</v>
      </c>
      <c r="H3" s="1" t="s">
        <v>231</v>
      </c>
      <c r="I3" s="1" t="s">
        <v>232</v>
      </c>
      <c r="J3" s="1" t="s">
        <v>233</v>
      </c>
      <c r="K3" s="1" t="s">
        <v>234</v>
      </c>
      <c r="L3" s="1" t="s">
        <v>235</v>
      </c>
      <c r="M3" s="1" t="s">
        <v>236</v>
      </c>
      <c r="N3" s="1" t="s">
        <v>237</v>
      </c>
      <c r="O3" s="1" t="s">
        <v>238</v>
      </c>
      <c r="P3" s="1" t="s">
        <v>239</v>
      </c>
      <c r="Q3" s="1" t="s">
        <v>240</v>
      </c>
      <c r="R3" s="1" t="s">
        <v>241</v>
      </c>
      <c r="S3" s="1" t="s">
        <v>242</v>
      </c>
      <c r="T3" s="1" t="s">
        <v>243</v>
      </c>
      <c r="U3" s="1" t="s">
        <v>244</v>
      </c>
      <c r="V3" s="1" t="s">
        <v>245</v>
      </c>
      <c r="W3" s="1" t="s">
        <v>246</v>
      </c>
      <c r="X3" s="1" t="s">
        <v>247</v>
      </c>
      <c r="Y3" s="1" t="s">
        <v>248</v>
      </c>
      <c r="Z3" s="1" t="s">
        <v>249</v>
      </c>
      <c r="AA3" s="2" t="s">
        <v>250</v>
      </c>
      <c r="AB3" s="1" t="s">
        <v>251</v>
      </c>
      <c r="AC3" s="138"/>
      <c r="AD3" s="138"/>
    </row>
  </sheetData>
  <mergeCells count="5">
    <mergeCell ref="B2:F2"/>
    <mergeCell ref="G2:Q2"/>
    <mergeCell ref="R2:AB2"/>
    <mergeCell ref="AC2:AC3"/>
    <mergeCell ref="AD2:AD3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HR流程明细</vt:lpstr>
      <vt:lpstr>行政（新）</vt:lpstr>
      <vt:lpstr>行政流程明细</vt:lpstr>
      <vt:lpstr>生产流程明细</vt:lpstr>
      <vt:lpstr>工资条格式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11</cp:lastModifiedBy>
  <dcterms:created xsi:type="dcterms:W3CDTF">2006-09-16T00:00:00Z</dcterms:created>
  <dcterms:modified xsi:type="dcterms:W3CDTF">2026-04-20T03:13:10Z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6F326A9535094C4A87CD326D47880D7B_12</vt:lpwstr>
  </property>
  <property fmtid="{D5CDD505-2E9C-101B-9397-08002B2CF9AE}" pid="3" name="KSOProductBuildVer">
    <vt:lpwstr>2052-12.1.0.21541</vt:lpwstr>
  </property>
</Properties>
</file>